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Listas!$D$2:$D$2</definedName>
    <definedName name="MARCA_2">Listas!$E$2:$E$8</definedName>
    <definedName name="MARCA_3">Listas!$F$2:$F$6</definedName>
    <definedName name="MARCA_4">Listas!$G$2:$G$12</definedName>
    <definedName name="MARCA_5">Listas!$H$2:$H$12</definedName>
    <definedName name="MARCA_6">Listas!$I$2:$I$4</definedName>
    <definedName name="MARCA_7">Listas!$J$2:$J$4</definedName>
    <definedName name="MARCA_8">Listas!$K$2:$K$6</definedName>
    <definedName name="MARCA_9">Listas!$L$2:$L$15</definedName>
    <definedName name="MARCA_10">Listas!$M$2:$M$18</definedName>
    <definedName name="MARCA_11">Listas!$N$2:$N$3</definedName>
    <definedName name="MARCA_12">Listas!$O$2:$O$4</definedName>
    <definedName name="MARCA_13">Listas!$P$2:$P$7</definedName>
    <definedName name="MARCA_14">Listas!$Q$2:$Q$4</definedName>
    <definedName name="MARCA_15">Listas!$R$2:$R$5</definedName>
    <definedName name="MARCA_16">Listas!$S$2:$S$12</definedName>
    <definedName name="MARCA_17">Listas!$T$2:$T$6</definedName>
    <definedName name="MARCA_18">Listas!$U$2:$U$3</definedName>
    <definedName name="MARCA_19">Listas!$V$2:$V$2</definedName>
    <definedName name="MARCA_20">Listas!$W$2:$W$2</definedName>
    <definedName name="MARCA_21">Listas!$X$2:$X$15</definedName>
    <definedName name="MARCA_22">Listas!$Y$2:$Y$2</definedName>
    <definedName name="MARCA_23">Listas!$Z$2:$Z$6</definedName>
    <definedName name="MARCA_24">Listas!$AA$2:$AA$4</definedName>
    <definedName name="MARCA_25">Listas!$AB$2:$AB$19</definedName>
    <definedName name="MARCA_26">Listas!$AC$2:$AC$8</definedName>
    <definedName name="MARCA_27">Listas!$AD$2:$AD$35</definedName>
    <definedName name="MARCA_28">Listas!$AE$2:$AE$7</definedName>
    <definedName name="MARCA_29">Listas!$AF$2:$AF$3</definedName>
    <definedName name="MARCA_30">Listas!$AG$2:$AG$14</definedName>
    <definedName name="MARCA_31">Listas!$AH$2:$AH$2</definedName>
    <definedName name="MARCA_32">Listas!$AI$2:$AI$7</definedName>
    <definedName name="MARCA_33">Listas!$AJ$2:$AJ$3</definedName>
    <definedName name="MARCA_34">Listas!$AK$2:$AK$42</definedName>
    <definedName name="MARCA_35">Listas!$AL$2:$AL$11</definedName>
    <definedName name="MARCA_36">Listas!$AM$2:$AM$3</definedName>
    <definedName name="MARCA_37">Listas!$AN$2:$AN$3</definedName>
    <definedName name="MARCA_38">Listas!$AO$2:$AO$2</definedName>
    <definedName name="MARCA_39">Listas!$AP$2:$AP$5</definedName>
    <definedName name="MARCA_40">Listas!$AQ$2:$AQ$6</definedName>
    <definedName name="MARCA_41">Listas!$AR$2:$AR$2</definedName>
    <definedName name="MARCA_42">Listas!$AS$2:$AS$11</definedName>
    <definedName name="MARCA_43">Listas!$AT$2:$AT$2</definedName>
    <definedName name="MARCA_44">Listas!$AU$2:$AU$9</definedName>
    <definedName name="MARCA_45">Listas!$AV$2:$AV$9</definedName>
    <definedName name="MESES">Listas!$C$2:$C$5</definedName>
    <definedName name="MARCAS">Listas!$A$2:$A$46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BOQUETE (Melo &amp; Cia · ZONA H).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IFERROR(INDEX(Productos!$B$2:$B$321,MATCH(B3,Productos!$A$2:$A$321,0)),"")</f>
        <v/>
      </c>
      <c r="D3" s="7">
        <f>IFERROR(INDEX(Productos!$C$2:$C$321,MATCH(B3,Productos!$A$2:$A$321,0)),"")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IFERROR(INDEX(Productos!$B$2:$B$321,MATCH(B4,Productos!$A$2:$A$321,0)),"")</f>
        <v/>
      </c>
      <c r="D4" s="7">
        <f>IFERROR(INDEX(Productos!$C$2:$C$321,MATCH(B4,Productos!$A$2:$A$321,0)),"")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IFERROR(INDEX(Productos!$B$2:$B$321,MATCH(B5,Productos!$A$2:$A$321,0)),"")</f>
        <v/>
      </c>
      <c r="D5" s="7">
        <f>IFERROR(INDEX(Productos!$C$2:$C$321,MATCH(B5,Productos!$A$2:$A$321,0)),"")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IFERROR(INDEX(Productos!$B$2:$B$321,MATCH(B6,Productos!$A$2:$A$321,0)),"")</f>
        <v/>
      </c>
      <c r="D6" s="7">
        <f>IFERROR(INDEX(Productos!$C$2:$C$321,MATCH(B6,Productos!$A$2:$A$321,0)),"")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IFERROR(INDEX(Productos!$B$2:$B$321,MATCH(B7,Productos!$A$2:$A$321,0)),"")</f>
        <v/>
      </c>
      <c r="D7" s="7">
        <f>IFERROR(INDEX(Productos!$C$2:$C$321,MATCH(B7,Productos!$A$2:$A$321,0)),"")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IFERROR(INDEX(Productos!$B$2:$B$321,MATCH(B8,Productos!$A$2:$A$321,0)),"")</f>
        <v/>
      </c>
      <c r="D8" s="7">
        <f>IFERROR(INDEX(Productos!$C$2:$C$321,MATCH(B8,Productos!$A$2:$A$321,0)),"")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IFERROR(INDEX(Productos!$B$2:$B$321,MATCH(B9,Productos!$A$2:$A$321,0)),"")</f>
        <v/>
      </c>
      <c r="D9" s="7">
        <f>IFERROR(INDEX(Productos!$C$2:$C$321,MATCH(B9,Productos!$A$2:$A$321,0)),"")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IFERROR(INDEX(Productos!$B$2:$B$321,MATCH(B10,Productos!$A$2:$A$321,0)),"")</f>
        <v/>
      </c>
      <c r="D10" s="7">
        <f>IFERROR(INDEX(Productos!$C$2:$C$321,MATCH(B10,Productos!$A$2:$A$321,0)),"")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IFERROR(INDEX(Productos!$B$2:$B$321,MATCH(B11,Productos!$A$2:$A$321,0)),"")</f>
        <v/>
      </c>
      <c r="D11" s="7">
        <f>IFERROR(INDEX(Productos!$C$2:$C$321,MATCH(B11,Productos!$A$2:$A$321,0)),"")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IFERROR(INDEX(Productos!$B$2:$B$321,MATCH(B12,Productos!$A$2:$A$321,0)),"")</f>
        <v/>
      </c>
      <c r="D12" s="7">
        <f>IFERROR(INDEX(Productos!$C$2:$C$321,MATCH(B12,Productos!$A$2:$A$321,0)),"")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IFERROR(INDEX(Productos!$B$2:$B$321,MATCH(B13,Productos!$A$2:$A$321,0)),"")</f>
        <v/>
      </c>
      <c r="D13" s="7">
        <f>IFERROR(INDEX(Productos!$C$2:$C$321,MATCH(B13,Productos!$A$2:$A$321,0)),"")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IFERROR(INDEX(Productos!$B$2:$B$321,MATCH(B14,Productos!$A$2:$A$321,0)),"")</f>
        <v/>
      </c>
      <c r="D14" s="7">
        <f>IFERROR(INDEX(Productos!$C$2:$C$321,MATCH(B14,Productos!$A$2:$A$321,0)),"")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IFERROR(INDEX(Productos!$B$2:$B$321,MATCH(B15,Productos!$A$2:$A$321,0)),"")</f>
        <v/>
      </c>
      <c r="D15" s="7">
        <f>IFERROR(INDEX(Productos!$C$2:$C$321,MATCH(B15,Productos!$A$2:$A$321,0)),"")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IFERROR(INDEX(Productos!$B$2:$B$321,MATCH(B16,Productos!$A$2:$A$321,0)),"")</f>
        <v/>
      </c>
      <c r="D16" s="7">
        <f>IFERROR(INDEX(Productos!$C$2:$C$321,MATCH(B16,Productos!$A$2:$A$321,0)),"")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IFERROR(INDEX(Productos!$B$2:$B$321,MATCH(B17,Productos!$A$2:$A$321,0)),"")</f>
        <v/>
      </c>
      <c r="D17" s="7">
        <f>IFERROR(INDEX(Productos!$C$2:$C$321,MATCH(B17,Productos!$A$2:$A$321,0)),"")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IFERROR(INDEX(Productos!$B$2:$B$321,MATCH(B18,Productos!$A$2:$A$321,0)),"")</f>
        <v/>
      </c>
      <c r="D18" s="7">
        <f>IFERROR(INDEX(Productos!$C$2:$C$321,MATCH(B18,Productos!$A$2:$A$321,0)),"")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IFERROR(INDEX(Productos!$B$2:$B$321,MATCH(B19,Productos!$A$2:$A$321,0)),"")</f>
        <v/>
      </c>
      <c r="D19" s="7">
        <f>IFERROR(INDEX(Productos!$C$2:$C$321,MATCH(B19,Productos!$A$2:$A$321,0)),"")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IFERROR(INDEX(Productos!$B$2:$B$321,MATCH(B20,Productos!$A$2:$A$321,0)),"")</f>
        <v/>
      </c>
      <c r="D20" s="7">
        <f>IFERROR(INDEX(Productos!$C$2:$C$321,MATCH(B20,Productos!$A$2:$A$321,0)),"")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IFERROR(INDEX(Productos!$B$2:$B$321,MATCH(B21,Productos!$A$2:$A$321,0)),"")</f>
        <v/>
      </c>
      <c r="D21" s="7">
        <f>IFERROR(INDEX(Productos!$C$2:$C$321,MATCH(B21,Productos!$A$2:$A$321,0)),"")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IFERROR(INDEX(Productos!$B$2:$B$321,MATCH(B22,Productos!$A$2:$A$321,0)),"")</f>
        <v/>
      </c>
      <c r="D22" s="7">
        <f>IFERROR(INDEX(Productos!$C$2:$C$321,MATCH(B22,Productos!$A$2:$A$321,0)),"")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IFERROR(INDEX(Productos!$B$2:$B$321,MATCH(B23,Productos!$A$2:$A$321,0)),"")</f>
        <v/>
      </c>
      <c r="D23" s="7">
        <f>IFERROR(INDEX(Productos!$C$2:$C$321,MATCH(B23,Productos!$A$2:$A$321,0)),"")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IFERROR(INDEX(Productos!$B$2:$B$321,MATCH(B24,Productos!$A$2:$A$321,0)),"")</f>
        <v/>
      </c>
      <c r="D24" s="7">
        <f>IFERROR(INDEX(Productos!$C$2:$C$321,MATCH(B24,Productos!$A$2:$A$321,0)),"")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IFERROR(INDEX(Productos!$B$2:$B$321,MATCH(B25,Productos!$A$2:$A$321,0)),"")</f>
        <v/>
      </c>
      <c r="D25" s="7">
        <f>IFERROR(INDEX(Productos!$C$2:$C$321,MATCH(B25,Productos!$A$2:$A$321,0)),"")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IFERROR(INDEX(Productos!$B$2:$B$321,MATCH(B26,Productos!$A$2:$A$321,0)),"")</f>
        <v/>
      </c>
      <c r="D26" s="7">
        <f>IFERROR(INDEX(Productos!$C$2:$C$321,MATCH(B26,Productos!$A$2:$A$321,0)),"")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IFERROR(INDEX(Productos!$B$2:$B$321,MATCH(B27,Productos!$A$2:$A$321,0)),"")</f>
        <v/>
      </c>
      <c r="D27" s="7">
        <f>IFERROR(INDEX(Productos!$C$2:$C$321,MATCH(B27,Productos!$A$2:$A$321,0)),"")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IFERROR(INDEX(Productos!$B$2:$B$321,MATCH(B28,Productos!$A$2:$A$321,0)),"")</f>
        <v/>
      </c>
      <c r="D28" s="7">
        <f>IFERROR(INDEX(Productos!$C$2:$C$321,MATCH(B28,Productos!$A$2:$A$321,0)),"")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IFERROR(INDEX(Productos!$B$2:$B$321,MATCH(B29,Productos!$A$2:$A$321,0)),"")</f>
        <v/>
      </c>
      <c r="D29" s="7">
        <f>IFERROR(INDEX(Productos!$C$2:$C$321,MATCH(B29,Productos!$A$2:$A$321,0)),"")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IFERROR(INDEX(Productos!$B$2:$B$321,MATCH(B30,Productos!$A$2:$A$321,0)),"")</f>
        <v/>
      </c>
      <c r="D30" s="7">
        <f>IFERROR(INDEX(Productos!$C$2:$C$321,MATCH(B30,Productos!$A$2:$A$321,0)),"")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IFERROR(INDEX(Productos!$B$2:$B$321,MATCH(B31,Productos!$A$2:$A$321,0)),"")</f>
        <v/>
      </c>
      <c r="D31" s="7">
        <f>IFERROR(INDEX(Productos!$C$2:$C$321,MATCH(B31,Productos!$A$2:$A$321,0)),"")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IFERROR(INDEX(Productos!$B$2:$B$321,MATCH(B32,Productos!$A$2:$A$321,0)),"")</f>
        <v/>
      </c>
      <c r="D32" s="7">
        <f>IFERROR(INDEX(Productos!$C$2:$C$321,MATCH(B32,Productos!$A$2:$A$321,0)),"")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IFERROR(INDEX(Productos!$B$2:$B$321,MATCH(B33,Productos!$A$2:$A$321,0)),"")</f>
        <v/>
      </c>
      <c r="D33" s="7">
        <f>IFERROR(INDEX(Productos!$C$2:$C$321,MATCH(B33,Productos!$A$2:$A$321,0)),"")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IFERROR(INDEX(Productos!$B$2:$B$321,MATCH(B34,Productos!$A$2:$A$321,0)),"")</f>
        <v/>
      </c>
      <c r="D34" s="7">
        <f>IFERROR(INDEX(Productos!$C$2:$C$321,MATCH(B34,Productos!$A$2:$A$321,0)),"")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IFERROR(INDEX(Productos!$B$2:$B$321,MATCH(B35,Productos!$A$2:$A$321,0)),"")</f>
        <v/>
      </c>
      <c r="D35" s="7">
        <f>IFERROR(INDEX(Productos!$C$2:$C$321,MATCH(B35,Productos!$A$2:$A$321,0)),"")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IFERROR(INDEX(Productos!$B$2:$B$321,MATCH(B36,Productos!$A$2:$A$321,0)),"")</f>
        <v/>
      </c>
      <c r="D36" s="7">
        <f>IFERROR(INDEX(Productos!$C$2:$C$321,MATCH(B36,Productos!$A$2:$A$321,0)),"")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IFERROR(INDEX(Productos!$B$2:$B$321,MATCH(B37,Productos!$A$2:$A$321,0)),"")</f>
        <v/>
      </c>
      <c r="D37" s="7">
        <f>IFERROR(INDEX(Productos!$C$2:$C$321,MATCH(B37,Productos!$A$2:$A$321,0)),"")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IFERROR(INDEX(Productos!$B$2:$B$321,MATCH(B38,Productos!$A$2:$A$321,0)),"")</f>
        <v/>
      </c>
      <c r="D38" s="7">
        <f>IFERROR(INDEX(Productos!$C$2:$C$321,MATCH(B38,Productos!$A$2:$A$321,0)),"")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IFERROR(INDEX(Productos!$B$2:$B$321,MATCH(B39,Productos!$A$2:$A$321,0)),"")</f>
        <v/>
      </c>
      <c r="D39" s="7">
        <f>IFERROR(INDEX(Productos!$C$2:$C$321,MATCH(B39,Productos!$A$2:$A$321,0)),"")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IFERROR(INDEX(Productos!$B$2:$B$321,MATCH(B40,Productos!$A$2:$A$321,0)),"")</f>
        <v/>
      </c>
      <c r="D40" s="7">
        <f>IFERROR(INDEX(Productos!$C$2:$C$321,MATCH(B40,Productos!$A$2:$A$321,0)),"")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IFERROR(INDEX(Productos!$B$2:$B$321,MATCH(B41,Productos!$A$2:$A$321,0)),"")</f>
        <v/>
      </c>
      <c r="D41" s="7">
        <f>IFERROR(INDEX(Productos!$C$2:$C$321,MATCH(B41,Productos!$A$2:$A$321,0)),"")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IFERROR(INDEX(Productos!$B$2:$B$321,MATCH(B42,Productos!$A$2:$A$321,0)),"")</f>
        <v/>
      </c>
      <c r="D42" s="7">
        <f>IFERROR(INDEX(Productos!$C$2:$C$321,MATCH(B42,Productos!$A$2:$A$321,0)),"")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IFERROR(INDEX(Productos!$B$2:$B$321,MATCH(B43,Productos!$A$2:$A$321,0)),"")</f>
        <v/>
      </c>
      <c r="D43" s="7">
        <f>IFERROR(INDEX(Productos!$C$2:$C$321,MATCH(B43,Productos!$A$2:$A$321,0)),"")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IFERROR(INDEX(Productos!$B$2:$B$321,MATCH(B44,Productos!$A$2:$A$321,0)),"")</f>
        <v/>
      </c>
      <c r="D44" s="7">
        <f>IFERROR(INDEX(Productos!$C$2:$C$321,MATCH(B44,Productos!$A$2:$A$321,0)),"")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IFERROR(INDEX(Productos!$B$2:$B$321,MATCH(B45,Productos!$A$2:$A$321,0)),"")</f>
        <v/>
      </c>
      <c r="D45" s="7">
        <f>IFERROR(INDEX(Productos!$C$2:$C$321,MATCH(B45,Productos!$A$2:$A$321,0)),"")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IFERROR(INDEX(Productos!$B$2:$B$321,MATCH(B46,Productos!$A$2:$A$321,0)),"")</f>
        <v/>
      </c>
      <c r="D46" s="7">
        <f>IFERROR(INDEX(Productos!$C$2:$C$321,MATCH(B46,Productos!$A$2:$A$321,0)),"")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IFERROR(INDEX(Productos!$B$2:$B$321,MATCH(B47,Productos!$A$2:$A$321,0)),"")</f>
        <v/>
      </c>
      <c r="D47" s="7">
        <f>IFERROR(INDEX(Productos!$C$2:$C$321,MATCH(B47,Productos!$A$2:$A$321,0)),"")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IFERROR(INDEX(Productos!$B$2:$B$321,MATCH(B48,Productos!$A$2:$A$321,0)),"")</f>
        <v/>
      </c>
      <c r="D48" s="7">
        <f>IFERROR(INDEX(Productos!$C$2:$C$321,MATCH(B48,Productos!$A$2:$A$321,0)),"")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IFERROR(INDEX(Productos!$B$2:$B$321,MATCH(B49,Productos!$A$2:$A$321,0)),"")</f>
        <v/>
      </c>
      <c r="D49" s="7">
        <f>IFERROR(INDEX(Productos!$C$2:$C$321,MATCH(B49,Productos!$A$2:$A$321,0)),"")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IFERROR(INDEX(Productos!$B$2:$B$321,MATCH(B50,Productos!$A$2:$A$321,0)),"")</f>
        <v/>
      </c>
      <c r="D50" s="7">
        <f>IFERROR(INDEX(Productos!$C$2:$C$321,MATCH(B50,Productos!$A$2:$A$321,0)),"")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IFERROR(INDEX(Productos!$B$2:$B$321,MATCH(B51,Productos!$A$2:$A$321,0)),"")</f>
        <v/>
      </c>
      <c r="D51" s="7">
        <f>IFERROR(INDEX(Productos!$C$2:$C$321,MATCH(B51,Productos!$A$2:$A$321,0)),"")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IFERROR(INDEX(Productos!$B$2:$B$321,MATCH(B52,Productos!$A$2:$A$321,0)),"")</f>
        <v/>
      </c>
      <c r="D52" s="7">
        <f>IFERROR(INDEX(Productos!$C$2:$C$321,MATCH(B52,Productos!$A$2:$A$321,0)),"")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IFERROR(INDEX(Productos!$B$2:$B$321,MATCH(B53,Productos!$A$2:$A$321,0)),"")</f>
        <v/>
      </c>
      <c r="D53" s="7">
        <f>IFERROR(INDEX(Productos!$C$2:$C$321,MATCH(B53,Productos!$A$2:$A$321,0)),"")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IFERROR(INDEX(Productos!$B$2:$B$321,MATCH(B54,Productos!$A$2:$A$321,0)),"")</f>
        <v/>
      </c>
      <c r="D54" s="7">
        <f>IFERROR(INDEX(Productos!$C$2:$C$321,MATCH(B54,Productos!$A$2:$A$321,0)),"")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IFERROR(INDEX(Productos!$B$2:$B$321,MATCH(B55,Productos!$A$2:$A$321,0)),"")</f>
        <v/>
      </c>
      <c r="D55" s="7">
        <f>IFERROR(INDEX(Productos!$C$2:$C$321,MATCH(B55,Productos!$A$2:$A$321,0)),"")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IFERROR(INDEX(Productos!$B$2:$B$321,MATCH(B56,Productos!$A$2:$A$321,0)),"")</f>
        <v/>
      </c>
      <c r="D56" s="7">
        <f>IFERROR(INDEX(Productos!$C$2:$C$321,MATCH(B56,Productos!$A$2:$A$321,0)),"")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IFERROR(INDEX(Productos!$B$2:$B$321,MATCH(B57,Productos!$A$2:$A$321,0)),"")</f>
        <v/>
      </c>
      <c r="D57" s="7">
        <f>IFERROR(INDEX(Productos!$C$2:$C$321,MATCH(B57,Productos!$A$2:$A$321,0)),"")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IFERROR(INDEX(Productos!$B$2:$B$321,MATCH(B58,Productos!$A$2:$A$321,0)),"")</f>
        <v/>
      </c>
      <c r="D58" s="7">
        <f>IFERROR(INDEX(Productos!$C$2:$C$321,MATCH(B58,Productos!$A$2:$A$321,0)),"")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IFERROR(INDEX(Productos!$B$2:$B$321,MATCH(B59,Productos!$A$2:$A$321,0)),"")</f>
        <v/>
      </c>
      <c r="D59" s="7">
        <f>IFERROR(INDEX(Productos!$C$2:$C$321,MATCH(B59,Productos!$A$2:$A$321,0)),"")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IFERROR(INDEX(Productos!$B$2:$B$321,MATCH(B60,Productos!$A$2:$A$321,0)),"")</f>
        <v/>
      </c>
      <c r="D60" s="7">
        <f>IFERROR(INDEX(Productos!$C$2:$C$321,MATCH(B60,Productos!$A$2:$A$321,0)),"")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IFERROR(INDEX(Productos!$B$2:$B$321,MATCH(B61,Productos!$A$2:$A$321,0)),"")</f>
        <v/>
      </c>
      <c r="D61" s="7">
        <f>IFERROR(INDEX(Productos!$C$2:$C$321,MATCH(B61,Productos!$A$2:$A$321,0)),"")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IFERROR(INDEX(Productos!$B$2:$B$321,MATCH(B62,Productos!$A$2:$A$321,0)),"")</f>
        <v/>
      </c>
      <c r="D62" s="7">
        <f>IFERROR(INDEX(Productos!$C$2:$C$321,MATCH(B62,Productos!$A$2:$A$321,0)),"")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IFERROR(INDEX(Productos!$B$2:$B$321,MATCH(B63,Productos!$A$2:$A$321,0)),"")</f>
        <v/>
      </c>
      <c r="D63" s="7">
        <f>IFERROR(INDEX(Productos!$C$2:$C$321,MATCH(B63,Productos!$A$2:$A$321,0)),"")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IFERROR(INDEX(Productos!$B$2:$B$321,MATCH(B64,Productos!$A$2:$A$321,0)),"")</f>
        <v/>
      </c>
      <c r="D64" s="7">
        <f>IFERROR(INDEX(Productos!$C$2:$C$321,MATCH(B64,Productos!$A$2:$A$321,0)),"")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IFERROR(INDEX(Productos!$B$2:$B$321,MATCH(B65,Productos!$A$2:$A$321,0)),"")</f>
        <v/>
      </c>
      <c r="D65" s="7">
        <f>IFERROR(INDEX(Productos!$C$2:$C$321,MATCH(B65,Productos!$A$2:$A$321,0)),"")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IFERROR(INDEX(Productos!$B$2:$B$321,MATCH(B66,Productos!$A$2:$A$321,0)),"")</f>
        <v/>
      </c>
      <c r="D66" s="7">
        <f>IFERROR(INDEX(Productos!$C$2:$C$321,MATCH(B66,Productos!$A$2:$A$321,0)),"")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IFERROR(INDEX(Productos!$B$2:$B$321,MATCH(B67,Productos!$A$2:$A$321,0)),"")</f>
        <v/>
      </c>
      <c r="D67" s="7">
        <f>IFERROR(INDEX(Productos!$C$2:$C$321,MATCH(B67,Productos!$A$2:$A$321,0)),"")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IFERROR(INDEX(Productos!$B$2:$B$321,MATCH(B68,Productos!$A$2:$A$321,0)),"")</f>
        <v/>
      </c>
      <c r="D68" s="7">
        <f>IFERROR(INDEX(Productos!$C$2:$C$321,MATCH(B68,Productos!$A$2:$A$321,0)),"")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IFERROR(INDEX(Productos!$B$2:$B$321,MATCH(B69,Productos!$A$2:$A$321,0)),"")</f>
        <v/>
      </c>
      <c r="D69" s="7">
        <f>IFERROR(INDEX(Productos!$C$2:$C$321,MATCH(B69,Productos!$A$2:$A$321,0)),"")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IFERROR(INDEX(Productos!$B$2:$B$321,MATCH(B70,Productos!$A$2:$A$321,0)),"")</f>
        <v/>
      </c>
      <c r="D70" s="7">
        <f>IFERROR(INDEX(Productos!$C$2:$C$321,MATCH(B70,Productos!$A$2:$A$321,0)),"")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IFERROR(INDEX(Productos!$B$2:$B$321,MATCH(B71,Productos!$A$2:$A$321,0)),"")</f>
        <v/>
      </c>
      <c r="D71" s="7">
        <f>IFERROR(INDEX(Productos!$C$2:$C$321,MATCH(B71,Productos!$A$2:$A$321,0)),"")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IFERROR(INDEX(Productos!$B$2:$B$321,MATCH(B72,Productos!$A$2:$A$321,0)),"")</f>
        <v/>
      </c>
      <c r="D72" s="7">
        <f>IFERROR(INDEX(Productos!$C$2:$C$321,MATCH(B72,Productos!$A$2:$A$321,0)),"")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IFERROR(INDEX(Productos!$B$2:$B$321,MATCH(B73,Productos!$A$2:$A$321,0)),"")</f>
        <v/>
      </c>
      <c r="D73" s="7">
        <f>IFERROR(INDEX(Productos!$C$2:$C$321,MATCH(B73,Productos!$A$2:$A$321,0)),"")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IFERROR(INDEX(Productos!$B$2:$B$321,MATCH(B74,Productos!$A$2:$A$321,0)),"")</f>
        <v/>
      </c>
      <c r="D74" s="7">
        <f>IFERROR(INDEX(Productos!$C$2:$C$321,MATCH(B74,Productos!$A$2:$A$321,0)),"")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IFERROR(INDEX(Productos!$B$2:$B$321,MATCH(B75,Productos!$A$2:$A$321,0)),"")</f>
        <v/>
      </c>
      <c r="D75" s="7">
        <f>IFERROR(INDEX(Productos!$C$2:$C$321,MATCH(B75,Productos!$A$2:$A$321,0)),"")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IFERROR(INDEX(Productos!$B$2:$B$321,MATCH(B76,Productos!$A$2:$A$321,0)),"")</f>
        <v/>
      </c>
      <c r="D76" s="7">
        <f>IFERROR(INDEX(Productos!$C$2:$C$321,MATCH(B76,Productos!$A$2:$A$321,0)),"")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IFERROR(INDEX(Productos!$B$2:$B$321,MATCH(B77,Productos!$A$2:$A$321,0)),"")</f>
        <v/>
      </c>
      <c r="D77" s="7">
        <f>IFERROR(INDEX(Productos!$C$2:$C$321,MATCH(B77,Productos!$A$2:$A$321,0)),"")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IFERROR(INDEX(Productos!$B$2:$B$321,MATCH(B78,Productos!$A$2:$A$321,0)),"")</f>
        <v/>
      </c>
      <c r="D78" s="7">
        <f>IFERROR(INDEX(Productos!$C$2:$C$321,MATCH(B78,Productos!$A$2:$A$321,0)),"")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IFERROR(INDEX(Productos!$B$2:$B$321,MATCH(B79,Productos!$A$2:$A$321,0)),"")</f>
        <v/>
      </c>
      <c r="D79" s="7">
        <f>IFERROR(INDEX(Productos!$C$2:$C$321,MATCH(B79,Productos!$A$2:$A$321,0)),"")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IFERROR(INDEX(Productos!$B$2:$B$321,MATCH(B80,Productos!$A$2:$A$321,0)),"")</f>
        <v/>
      </c>
      <c r="D80" s="7">
        <f>IFERROR(INDEX(Productos!$C$2:$C$321,MATCH(B80,Productos!$A$2:$A$321,0)),"")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IFERROR(INDEX(Productos!$B$2:$B$321,MATCH(B81,Productos!$A$2:$A$321,0)),"")</f>
        <v/>
      </c>
      <c r="D81" s="7">
        <f>IFERROR(INDEX(Productos!$C$2:$C$321,MATCH(B81,Productos!$A$2:$A$321,0)),"")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IFERROR(INDEX(Productos!$B$2:$B$321,MATCH(B82,Productos!$A$2:$A$321,0)),"")</f>
        <v/>
      </c>
      <c r="D82" s="7">
        <f>IFERROR(INDEX(Productos!$C$2:$C$321,MATCH(B82,Productos!$A$2:$A$321,0)),"")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IFERROR(INDEX(Productos!$B$2:$B$321,MATCH(B83,Productos!$A$2:$A$321,0)),"")</f>
        <v/>
      </c>
      <c r="D83" s="7">
        <f>IFERROR(INDEX(Productos!$C$2:$C$321,MATCH(B83,Productos!$A$2:$A$321,0)),"")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IFERROR(INDEX(Productos!$B$2:$B$321,MATCH(B84,Productos!$A$2:$A$321,0)),"")</f>
        <v/>
      </c>
      <c r="D84" s="7">
        <f>IFERROR(INDEX(Productos!$C$2:$C$321,MATCH(B84,Productos!$A$2:$A$321,0)),"")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IFERROR(INDEX(Productos!$B$2:$B$321,MATCH(B85,Productos!$A$2:$A$321,0)),"")</f>
        <v/>
      </c>
      <c r="D85" s="7">
        <f>IFERROR(INDEX(Productos!$C$2:$C$321,MATCH(B85,Productos!$A$2:$A$321,0)),"")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IFERROR(INDEX(Productos!$B$2:$B$321,MATCH(B86,Productos!$A$2:$A$321,0)),"")</f>
        <v/>
      </c>
      <c r="D86" s="7">
        <f>IFERROR(INDEX(Productos!$C$2:$C$321,MATCH(B86,Productos!$A$2:$A$321,0)),"")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IFERROR(INDEX(Productos!$B$2:$B$321,MATCH(B87,Productos!$A$2:$A$321,0)),"")</f>
        <v/>
      </c>
      <c r="D87" s="7">
        <f>IFERROR(INDEX(Productos!$C$2:$C$321,MATCH(B87,Productos!$A$2:$A$321,0)),"")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IFERROR(INDEX(Productos!$B$2:$B$321,MATCH(B88,Productos!$A$2:$A$321,0)),"")</f>
        <v/>
      </c>
      <c r="D88" s="7">
        <f>IFERROR(INDEX(Productos!$C$2:$C$321,MATCH(B88,Productos!$A$2:$A$321,0)),"")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IFERROR(INDEX(Productos!$B$2:$B$321,MATCH(B89,Productos!$A$2:$A$321,0)),"")</f>
        <v/>
      </c>
      <c r="D89" s="7">
        <f>IFERROR(INDEX(Productos!$C$2:$C$321,MATCH(B89,Productos!$A$2:$A$321,0)),"")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IFERROR(INDEX(Productos!$B$2:$B$321,MATCH(B90,Productos!$A$2:$A$321,0)),"")</f>
        <v/>
      </c>
      <c r="D90" s="7">
        <f>IFERROR(INDEX(Productos!$C$2:$C$321,MATCH(B90,Productos!$A$2:$A$321,0)),"")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IFERROR(INDEX(Productos!$B$2:$B$321,MATCH(B91,Productos!$A$2:$A$321,0)),"")</f>
        <v/>
      </c>
      <c r="D91" s="7">
        <f>IFERROR(INDEX(Productos!$C$2:$C$321,MATCH(B91,Productos!$A$2:$A$321,0)),"")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IFERROR(INDEX(Productos!$B$2:$B$321,MATCH(B92,Productos!$A$2:$A$321,0)),"")</f>
        <v/>
      </c>
      <c r="D92" s="7">
        <f>IFERROR(INDEX(Productos!$C$2:$C$321,MATCH(B92,Productos!$A$2:$A$321,0)),"")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IFERROR(INDEX(Productos!$B$2:$B$321,MATCH(B93,Productos!$A$2:$A$321,0)),"")</f>
        <v/>
      </c>
      <c r="D93" s="7">
        <f>IFERROR(INDEX(Productos!$C$2:$C$321,MATCH(B93,Productos!$A$2:$A$321,0)),"")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IFERROR(INDEX(Productos!$B$2:$B$321,MATCH(B94,Productos!$A$2:$A$321,0)),"")</f>
        <v/>
      </c>
      <c r="D94" s="7">
        <f>IFERROR(INDEX(Productos!$C$2:$C$321,MATCH(B94,Productos!$A$2:$A$321,0)),"")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IFERROR(INDEX(Productos!$B$2:$B$321,MATCH(B95,Productos!$A$2:$A$321,0)),"")</f>
        <v/>
      </c>
      <c r="D95" s="7">
        <f>IFERROR(INDEX(Productos!$C$2:$C$321,MATCH(B95,Productos!$A$2:$A$321,0)),"")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IFERROR(INDEX(Productos!$B$2:$B$321,MATCH(B96,Productos!$A$2:$A$321,0)),"")</f>
        <v/>
      </c>
      <c r="D96" s="7">
        <f>IFERROR(INDEX(Productos!$C$2:$C$321,MATCH(B96,Productos!$A$2:$A$321,0)),"")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IFERROR(INDEX(Productos!$B$2:$B$321,MATCH(B97,Productos!$A$2:$A$321,0)),"")</f>
        <v/>
      </c>
      <c r="D97" s="7">
        <f>IFERROR(INDEX(Productos!$C$2:$C$321,MATCH(B97,Productos!$A$2:$A$321,0)),"")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IFERROR(INDEX(Productos!$B$2:$B$321,MATCH(B98,Productos!$A$2:$A$321,0)),"")</f>
        <v/>
      </c>
      <c r="D98" s="7">
        <f>IFERROR(INDEX(Productos!$C$2:$C$321,MATCH(B98,Productos!$A$2:$A$321,0)),"")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IFERROR(INDEX(Productos!$B$2:$B$321,MATCH(B99,Productos!$A$2:$A$321,0)),"")</f>
        <v/>
      </c>
      <c r="D99" s="7">
        <f>IFERROR(INDEX(Productos!$C$2:$C$321,MATCH(B99,Productos!$A$2:$A$321,0)),"")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IFERROR(INDEX(Productos!$B$2:$B$321,MATCH(B100,Productos!$A$2:$A$321,0)),"")</f>
        <v/>
      </c>
      <c r="D100" s="7">
        <f>IFERROR(INDEX(Productos!$C$2:$C$321,MATCH(B100,Productos!$A$2:$A$321,0)),"")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IFERROR(INDEX(Productos!$B$2:$B$321,MATCH(B101,Productos!$A$2:$A$321,0)),"")</f>
        <v/>
      </c>
      <c r="D101" s="7">
        <f>IFERROR(INDEX(Productos!$C$2:$C$321,MATCH(B101,Productos!$A$2:$A$321,0)),"")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IFERROR(INDEX(Productos!$B$2:$B$321,MATCH(B102,Productos!$A$2:$A$321,0)),"")</f>
        <v/>
      </c>
      <c r="D102" s="7">
        <f>IFERROR(INDEX(Productos!$C$2:$C$321,MATCH(B102,Productos!$A$2:$A$321,0)),"")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IFERROR(INDEX(Productos!$B$2:$B$321,MATCH(B103,Productos!$A$2:$A$321,0)),"")</f>
        <v/>
      </c>
      <c r="D103" s="7">
        <f>IFERROR(INDEX(Productos!$C$2:$C$321,MATCH(B103,Productos!$A$2:$A$321,0)),"")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IFERROR(INDEX(Productos!$B$2:$B$321,MATCH(B104,Productos!$A$2:$A$321,0)),"")</f>
        <v/>
      </c>
      <c r="D104" s="7">
        <f>IFERROR(INDEX(Productos!$C$2:$C$321,MATCH(B104,Productos!$A$2:$A$321,0)),"")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IFERROR(INDEX(Productos!$B$2:$B$321,MATCH(B105,Productos!$A$2:$A$321,0)),"")</f>
        <v/>
      </c>
      <c r="D105" s="7">
        <f>IFERROR(INDEX(Productos!$C$2:$C$321,MATCH(B105,Productos!$A$2:$A$321,0)),"")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IFERROR(INDEX(Productos!$B$2:$B$321,MATCH(B106,Productos!$A$2:$A$321,0)),"")</f>
        <v/>
      </c>
      <c r="D106" s="7">
        <f>IFERROR(INDEX(Productos!$C$2:$C$321,MATCH(B106,Productos!$A$2:$A$321,0)),"")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IFERROR(INDEX(Productos!$B$2:$B$321,MATCH(B107,Productos!$A$2:$A$321,0)),"")</f>
        <v/>
      </c>
      <c r="D107" s="7">
        <f>IFERROR(INDEX(Productos!$C$2:$C$321,MATCH(B107,Productos!$A$2:$A$321,0)),"")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IFERROR(INDEX(Productos!$B$2:$B$321,MATCH(B108,Productos!$A$2:$A$321,0)),"")</f>
        <v/>
      </c>
      <c r="D108" s="7">
        <f>IFERROR(INDEX(Productos!$C$2:$C$321,MATCH(B108,Productos!$A$2:$A$321,0)),"")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IFERROR(INDEX(Productos!$B$2:$B$321,MATCH(B109,Productos!$A$2:$A$321,0)),"")</f>
        <v/>
      </c>
      <c r="D109" s="7">
        <f>IFERROR(INDEX(Productos!$C$2:$C$321,MATCH(B109,Productos!$A$2:$A$321,0)),"")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IFERROR(INDEX(Productos!$B$2:$B$321,MATCH(B110,Productos!$A$2:$A$321,0)),"")</f>
        <v/>
      </c>
      <c r="D110" s="7">
        <f>IFERROR(INDEX(Productos!$C$2:$C$321,MATCH(B110,Productos!$A$2:$A$321,0)),"")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IFERROR(INDEX(Productos!$B$2:$B$321,MATCH(B111,Productos!$A$2:$A$321,0)),"")</f>
        <v/>
      </c>
      <c r="D111" s="7">
        <f>IFERROR(INDEX(Productos!$C$2:$C$321,MATCH(B111,Productos!$A$2:$A$321,0)),"")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IFERROR(INDEX(Productos!$B$2:$B$321,MATCH(B112,Productos!$A$2:$A$321,0)),"")</f>
        <v/>
      </c>
      <c r="D112" s="7">
        <f>IFERROR(INDEX(Productos!$C$2:$C$321,MATCH(B112,Productos!$A$2:$A$321,0)),"")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IFERROR(INDEX(Productos!$B$2:$B$321,MATCH(B113,Productos!$A$2:$A$321,0)),"")</f>
        <v/>
      </c>
      <c r="D113" s="7">
        <f>IFERROR(INDEX(Productos!$C$2:$C$321,MATCH(B113,Productos!$A$2:$A$321,0)),"")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IFERROR(INDEX(Productos!$B$2:$B$321,MATCH(B114,Productos!$A$2:$A$321,0)),"")</f>
        <v/>
      </c>
      <c r="D114" s="7">
        <f>IFERROR(INDEX(Productos!$C$2:$C$321,MATCH(B114,Productos!$A$2:$A$321,0)),"")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IFERROR(INDEX(Productos!$B$2:$B$321,MATCH(B115,Productos!$A$2:$A$321,0)),"")</f>
        <v/>
      </c>
      <c r="D115" s="7">
        <f>IFERROR(INDEX(Productos!$C$2:$C$321,MATCH(B115,Productos!$A$2:$A$321,0)),"")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IFERROR(INDEX(Productos!$B$2:$B$321,MATCH(B116,Productos!$A$2:$A$321,0)),"")</f>
        <v/>
      </c>
      <c r="D116" s="7">
        <f>IFERROR(INDEX(Productos!$C$2:$C$321,MATCH(B116,Productos!$A$2:$A$321,0)),"")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IFERROR(INDEX(Productos!$B$2:$B$321,MATCH(B117,Productos!$A$2:$A$321,0)),"")</f>
        <v/>
      </c>
      <c r="D117" s="7">
        <f>IFERROR(INDEX(Productos!$C$2:$C$321,MATCH(B117,Productos!$A$2:$A$321,0)),"")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IFERROR(INDEX(Productos!$B$2:$B$321,MATCH(B118,Productos!$A$2:$A$321,0)),"")</f>
        <v/>
      </c>
      <c r="D118" s="7">
        <f>IFERROR(INDEX(Productos!$C$2:$C$321,MATCH(B118,Productos!$A$2:$A$321,0)),"")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IFERROR(INDEX(Productos!$B$2:$B$321,MATCH(B119,Productos!$A$2:$A$321,0)),"")</f>
        <v/>
      </c>
      <c r="D119" s="7">
        <f>IFERROR(INDEX(Productos!$C$2:$C$321,MATCH(B119,Productos!$A$2:$A$321,0)),"")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IFERROR(INDEX(Productos!$B$2:$B$321,MATCH(B120,Productos!$A$2:$A$321,0)),"")</f>
        <v/>
      </c>
      <c r="D120" s="7">
        <f>IFERROR(INDEX(Productos!$C$2:$C$321,MATCH(B120,Productos!$A$2:$A$321,0)),"")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IFERROR(INDEX(Productos!$B$2:$B$321,MATCH(B121,Productos!$A$2:$A$321,0)),"")</f>
        <v/>
      </c>
      <c r="D121" s="7">
        <f>IFERROR(INDEX(Productos!$C$2:$C$321,MATCH(B121,Productos!$A$2:$A$321,0)),"")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IFERROR(INDEX(Productos!$B$2:$B$321,MATCH(B122,Productos!$A$2:$A$321,0)),"")</f>
        <v/>
      </c>
      <c r="D122" s="7">
        <f>IFERROR(INDEX(Productos!$C$2:$C$321,MATCH(B122,Productos!$A$2:$A$321,0)),"")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IFERROR(INDEX(Productos!$B$2:$B$321,MATCH(B123,Productos!$A$2:$A$321,0)),"")</f>
        <v/>
      </c>
      <c r="D123" s="7">
        <f>IFERROR(INDEX(Productos!$C$2:$C$321,MATCH(B123,Productos!$A$2:$A$321,0)),"")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IFERROR(INDEX(Productos!$B$2:$B$321,MATCH(B124,Productos!$A$2:$A$321,0)),"")</f>
        <v/>
      </c>
      <c r="D124" s="7">
        <f>IFERROR(INDEX(Productos!$C$2:$C$321,MATCH(B124,Productos!$A$2:$A$321,0)),"")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IFERROR(INDEX(Productos!$B$2:$B$321,MATCH(B125,Productos!$A$2:$A$321,0)),"")</f>
        <v/>
      </c>
      <c r="D125" s="7">
        <f>IFERROR(INDEX(Productos!$C$2:$C$321,MATCH(B125,Productos!$A$2:$A$321,0)),"")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IFERROR(INDEX(Productos!$B$2:$B$321,MATCH(B126,Productos!$A$2:$A$321,0)),"")</f>
        <v/>
      </c>
      <c r="D126" s="7">
        <f>IFERROR(INDEX(Productos!$C$2:$C$321,MATCH(B126,Productos!$A$2:$A$321,0)),"")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IFERROR(INDEX(Productos!$B$2:$B$321,MATCH(B127,Productos!$A$2:$A$321,0)),"")</f>
        <v/>
      </c>
      <c r="D127" s="7">
        <f>IFERROR(INDEX(Productos!$C$2:$C$321,MATCH(B127,Productos!$A$2:$A$321,0)),"")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IFERROR(INDEX(Productos!$B$2:$B$321,MATCH(B128,Productos!$A$2:$A$321,0)),"")</f>
        <v/>
      </c>
      <c r="D128" s="7">
        <f>IFERROR(INDEX(Productos!$C$2:$C$321,MATCH(B128,Productos!$A$2:$A$321,0)),"")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IFERROR(INDEX(Productos!$B$2:$B$321,MATCH(B129,Productos!$A$2:$A$321,0)),"")</f>
        <v/>
      </c>
      <c r="D129" s="7">
        <f>IFERROR(INDEX(Productos!$C$2:$C$321,MATCH(B129,Productos!$A$2:$A$321,0)),"")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IFERROR(INDEX(Productos!$B$2:$B$321,MATCH(B130,Productos!$A$2:$A$321,0)),"")</f>
        <v/>
      </c>
      <c r="D130" s="7">
        <f>IFERROR(INDEX(Productos!$C$2:$C$321,MATCH(B130,Productos!$A$2:$A$321,0)),"")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IFERROR(INDEX(Productos!$B$2:$B$321,MATCH(B131,Productos!$A$2:$A$321,0)),"")</f>
        <v/>
      </c>
      <c r="D131" s="7">
        <f>IFERROR(INDEX(Productos!$C$2:$C$321,MATCH(B131,Productos!$A$2:$A$321,0)),"")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IFERROR(INDEX(Productos!$B$2:$B$321,MATCH(B132,Productos!$A$2:$A$321,0)),"")</f>
        <v/>
      </c>
      <c r="D132" s="7">
        <f>IFERROR(INDEX(Productos!$C$2:$C$321,MATCH(B132,Productos!$A$2:$A$321,0)),"")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IFERROR(INDEX(Productos!$B$2:$B$321,MATCH(B133,Productos!$A$2:$A$321,0)),"")</f>
        <v/>
      </c>
      <c r="D133" s="7">
        <f>IFERROR(INDEX(Productos!$C$2:$C$321,MATCH(B133,Productos!$A$2:$A$321,0)),"")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IFERROR(INDEX(Productos!$B$2:$B$321,MATCH(B134,Productos!$A$2:$A$321,0)),"")</f>
        <v/>
      </c>
      <c r="D134" s="7">
        <f>IFERROR(INDEX(Productos!$C$2:$C$321,MATCH(B134,Productos!$A$2:$A$321,0)),"")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IFERROR(INDEX(Productos!$B$2:$B$321,MATCH(B135,Productos!$A$2:$A$321,0)),"")</f>
        <v/>
      </c>
      <c r="D135" s="7">
        <f>IFERROR(INDEX(Productos!$C$2:$C$321,MATCH(B135,Productos!$A$2:$A$321,0)),"")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IFERROR(INDEX(Productos!$B$2:$B$321,MATCH(B136,Productos!$A$2:$A$321,0)),"")</f>
        <v/>
      </c>
      <c r="D136" s="7">
        <f>IFERROR(INDEX(Productos!$C$2:$C$321,MATCH(B136,Productos!$A$2:$A$321,0)),"")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IFERROR(INDEX(Productos!$B$2:$B$321,MATCH(B137,Productos!$A$2:$A$321,0)),"")</f>
        <v/>
      </c>
      <c r="D137" s="7">
        <f>IFERROR(INDEX(Productos!$C$2:$C$321,MATCH(B137,Productos!$A$2:$A$321,0)),"")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IFERROR(INDEX(Productos!$B$2:$B$321,MATCH(B138,Productos!$A$2:$A$321,0)),"")</f>
        <v/>
      </c>
      <c r="D138" s="7">
        <f>IFERROR(INDEX(Productos!$C$2:$C$321,MATCH(B138,Productos!$A$2:$A$321,0)),"")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IFERROR(INDEX(Productos!$B$2:$B$321,MATCH(B139,Productos!$A$2:$A$321,0)),"")</f>
        <v/>
      </c>
      <c r="D139" s="7">
        <f>IFERROR(INDEX(Productos!$C$2:$C$321,MATCH(B139,Productos!$A$2:$A$321,0)),"")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IFERROR(INDEX(Productos!$B$2:$B$321,MATCH(B140,Productos!$A$2:$A$321,0)),"")</f>
        <v/>
      </c>
      <c r="D140" s="7">
        <f>IFERROR(INDEX(Productos!$C$2:$C$321,MATCH(B140,Productos!$A$2:$A$321,0)),"")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IFERROR(INDEX(Productos!$B$2:$B$321,MATCH(B141,Productos!$A$2:$A$321,0)),"")</f>
        <v/>
      </c>
      <c r="D141" s="7">
        <f>IFERROR(INDEX(Productos!$C$2:$C$321,MATCH(B141,Productos!$A$2:$A$321,0)),"")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IFERROR(INDEX(Productos!$B$2:$B$321,MATCH(B142,Productos!$A$2:$A$321,0)),"")</f>
        <v/>
      </c>
      <c r="D142" s="7">
        <f>IFERROR(INDEX(Productos!$C$2:$C$321,MATCH(B142,Productos!$A$2:$A$321,0)),"")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IFERROR(INDEX(Productos!$B$2:$B$321,MATCH(B143,Productos!$A$2:$A$321,0)),"")</f>
        <v/>
      </c>
      <c r="D143" s="7">
        <f>IFERROR(INDEX(Productos!$C$2:$C$321,MATCH(B143,Productos!$A$2:$A$321,0)),"")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IFERROR(INDEX(Productos!$B$2:$B$321,MATCH(B144,Productos!$A$2:$A$321,0)),"")</f>
        <v/>
      </c>
      <c r="D144" s="7">
        <f>IFERROR(INDEX(Productos!$C$2:$C$321,MATCH(B144,Productos!$A$2:$A$321,0)),"")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IFERROR(INDEX(Productos!$B$2:$B$321,MATCH(B145,Productos!$A$2:$A$321,0)),"")</f>
        <v/>
      </c>
      <c r="D145" s="7">
        <f>IFERROR(INDEX(Productos!$C$2:$C$321,MATCH(B145,Productos!$A$2:$A$321,0)),"")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IFERROR(INDEX(Productos!$B$2:$B$321,MATCH(B146,Productos!$A$2:$A$321,0)),"")</f>
        <v/>
      </c>
      <c r="D146" s="7">
        <f>IFERROR(INDEX(Productos!$C$2:$C$321,MATCH(B146,Productos!$A$2:$A$321,0)),"")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IFERROR(INDEX(Productos!$B$2:$B$321,MATCH(B147,Productos!$A$2:$A$321,0)),"")</f>
        <v/>
      </c>
      <c r="D147" s="7">
        <f>IFERROR(INDEX(Productos!$C$2:$C$321,MATCH(B147,Productos!$A$2:$A$321,0)),"")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IFERROR(INDEX(Productos!$B$2:$B$321,MATCH(B148,Productos!$A$2:$A$321,0)),"")</f>
        <v/>
      </c>
      <c r="D148" s="7">
        <f>IFERROR(INDEX(Productos!$C$2:$C$321,MATCH(B148,Productos!$A$2:$A$321,0)),"")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IFERROR(INDEX(Productos!$B$2:$B$321,MATCH(B149,Productos!$A$2:$A$321,0)),"")</f>
        <v/>
      </c>
      <c r="D149" s="7">
        <f>IFERROR(INDEX(Productos!$C$2:$C$321,MATCH(B149,Productos!$A$2:$A$321,0)),"")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IFERROR(INDEX(Productos!$B$2:$B$321,MATCH(B150,Productos!$A$2:$A$321,0)),"")</f>
        <v/>
      </c>
      <c r="D150" s="7">
        <f>IFERROR(INDEX(Productos!$C$2:$C$321,MATCH(B150,Productos!$A$2:$A$321,0)),"")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IFERROR(INDEX(Productos!$B$2:$B$321,MATCH(B151,Productos!$A$2:$A$321,0)),"")</f>
        <v/>
      </c>
      <c r="D151" s="7">
        <f>IFERROR(INDEX(Productos!$C$2:$C$321,MATCH(B151,Productos!$A$2:$A$321,0)),"")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IFERROR(INDEX(Productos!$B$2:$B$321,MATCH(B152,Productos!$A$2:$A$321,0)),"")</f>
        <v/>
      </c>
      <c r="D152" s="7">
        <f>IFERROR(INDEX(Productos!$C$2:$C$321,MATCH(B152,Productos!$A$2:$A$321,0)),"")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IFERROR(INDEX(Productos!$B$2:$B$321,MATCH(B153,Productos!$A$2:$A$321,0)),"")</f>
        <v/>
      </c>
      <c r="D153" s="7">
        <f>IFERROR(INDEX(Productos!$C$2:$C$321,MATCH(B153,Productos!$A$2:$A$321,0)),"")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IFERROR(INDEX(Productos!$B$2:$B$321,MATCH(B154,Productos!$A$2:$A$321,0)),"")</f>
        <v/>
      </c>
      <c r="D154" s="7">
        <f>IFERROR(INDEX(Productos!$C$2:$C$321,MATCH(B154,Productos!$A$2:$A$321,0)),"")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IFERROR(INDEX(Productos!$B$2:$B$321,MATCH(B155,Productos!$A$2:$A$321,0)),"")</f>
        <v/>
      </c>
      <c r="D155" s="7">
        <f>IFERROR(INDEX(Productos!$C$2:$C$321,MATCH(B155,Productos!$A$2:$A$321,0)),"")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IFERROR(INDEX(Productos!$B$2:$B$321,MATCH(B156,Productos!$A$2:$A$321,0)),"")</f>
        <v/>
      </c>
      <c r="D156" s="7">
        <f>IFERROR(INDEX(Productos!$C$2:$C$321,MATCH(B156,Productos!$A$2:$A$321,0)),"")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IFERROR(INDEX(Productos!$B$2:$B$321,MATCH(B157,Productos!$A$2:$A$321,0)),"")</f>
        <v/>
      </c>
      <c r="D157" s="7">
        <f>IFERROR(INDEX(Productos!$C$2:$C$321,MATCH(B157,Productos!$A$2:$A$321,0)),"")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IFERROR(INDEX(Productos!$B$2:$B$321,MATCH(B158,Productos!$A$2:$A$321,0)),"")</f>
        <v/>
      </c>
      <c r="D158" s="7">
        <f>IFERROR(INDEX(Productos!$C$2:$C$321,MATCH(B158,Productos!$A$2:$A$321,0)),"")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IFERROR(INDEX(Productos!$B$2:$B$321,MATCH(B159,Productos!$A$2:$A$321,0)),"")</f>
        <v/>
      </c>
      <c r="D159" s="7">
        <f>IFERROR(INDEX(Productos!$C$2:$C$321,MATCH(B159,Productos!$A$2:$A$321,0)),"")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IFERROR(INDEX(Productos!$B$2:$B$321,MATCH(B160,Productos!$A$2:$A$321,0)),"")</f>
        <v/>
      </c>
      <c r="D160" s="7">
        <f>IFERROR(INDEX(Productos!$C$2:$C$321,MATCH(B160,Productos!$A$2:$A$321,0)),"")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IFERROR(INDEX(Productos!$B$2:$B$321,MATCH(B161,Productos!$A$2:$A$321,0)),"")</f>
        <v/>
      </c>
      <c r="D161" s="7">
        <f>IFERROR(INDEX(Productos!$C$2:$C$321,MATCH(B161,Productos!$A$2:$A$321,0)),"")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IFERROR(INDEX(Productos!$B$2:$B$321,MATCH(B162,Productos!$A$2:$A$321,0)),"")</f>
        <v/>
      </c>
      <c r="D162" s="7">
        <f>IFERROR(INDEX(Productos!$C$2:$C$321,MATCH(B162,Productos!$A$2:$A$321,0)),"")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IFERROR(INDEX(Productos!$B$2:$B$321,MATCH(B163,Productos!$A$2:$A$321,0)),"")</f>
        <v/>
      </c>
      <c r="D163" s="7">
        <f>IFERROR(INDEX(Productos!$C$2:$C$321,MATCH(B163,Productos!$A$2:$A$321,0)),"")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IFERROR(INDEX(Productos!$B$2:$B$321,MATCH(B164,Productos!$A$2:$A$321,0)),"")</f>
        <v/>
      </c>
      <c r="D164" s="7">
        <f>IFERROR(INDEX(Productos!$C$2:$C$321,MATCH(B164,Productos!$A$2:$A$321,0)),"")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IFERROR(INDEX(Productos!$B$2:$B$321,MATCH(B165,Productos!$A$2:$A$321,0)),"")</f>
        <v/>
      </c>
      <c r="D165" s="7">
        <f>IFERROR(INDEX(Productos!$C$2:$C$321,MATCH(B165,Productos!$A$2:$A$321,0)),"")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IFERROR(INDEX(Productos!$B$2:$B$321,MATCH(B166,Productos!$A$2:$A$321,0)),"")</f>
        <v/>
      </c>
      <c r="D166" s="7">
        <f>IFERROR(INDEX(Productos!$C$2:$C$321,MATCH(B166,Productos!$A$2:$A$321,0)),"")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IFERROR(INDEX(Productos!$B$2:$B$321,MATCH(B167,Productos!$A$2:$A$321,0)),"")</f>
        <v/>
      </c>
      <c r="D167" s="7">
        <f>IFERROR(INDEX(Productos!$C$2:$C$321,MATCH(B167,Productos!$A$2:$A$321,0)),"")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IFERROR(INDEX(Productos!$B$2:$B$321,MATCH(B168,Productos!$A$2:$A$321,0)),"")</f>
        <v/>
      </c>
      <c r="D168" s="7">
        <f>IFERROR(INDEX(Productos!$C$2:$C$321,MATCH(B168,Productos!$A$2:$A$321,0)),"")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IFERROR(INDEX(Productos!$B$2:$B$321,MATCH(B169,Productos!$A$2:$A$321,0)),"")</f>
        <v/>
      </c>
      <c r="D169" s="7">
        <f>IFERROR(INDEX(Productos!$C$2:$C$321,MATCH(B169,Productos!$A$2:$A$321,0)),"")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IFERROR(INDEX(Productos!$B$2:$B$321,MATCH(B170,Productos!$A$2:$A$321,0)),"")</f>
        <v/>
      </c>
      <c r="D170" s="7">
        <f>IFERROR(INDEX(Productos!$C$2:$C$321,MATCH(B170,Productos!$A$2:$A$321,0)),"")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IFERROR(INDEX(Productos!$B$2:$B$321,MATCH(B171,Productos!$A$2:$A$321,0)),"")</f>
        <v/>
      </c>
      <c r="D171" s="7">
        <f>IFERROR(INDEX(Productos!$C$2:$C$321,MATCH(B171,Productos!$A$2:$A$321,0)),"")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IFERROR(INDEX(Productos!$B$2:$B$321,MATCH(B172,Productos!$A$2:$A$321,0)),"")</f>
        <v/>
      </c>
      <c r="D172" s="7">
        <f>IFERROR(INDEX(Productos!$C$2:$C$321,MATCH(B172,Productos!$A$2:$A$321,0)),"")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IFERROR(INDEX(Productos!$B$2:$B$321,MATCH(B173,Productos!$A$2:$A$321,0)),"")</f>
        <v/>
      </c>
      <c r="D173" s="7">
        <f>IFERROR(INDEX(Productos!$C$2:$C$321,MATCH(B173,Productos!$A$2:$A$321,0)),"")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IFERROR(INDEX(Productos!$B$2:$B$321,MATCH(B174,Productos!$A$2:$A$321,0)),"")</f>
        <v/>
      </c>
      <c r="D174" s="7">
        <f>IFERROR(INDEX(Productos!$C$2:$C$321,MATCH(B174,Productos!$A$2:$A$321,0)),"")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IFERROR(INDEX(Productos!$B$2:$B$321,MATCH(B175,Productos!$A$2:$A$321,0)),"")</f>
        <v/>
      </c>
      <c r="D175" s="7">
        <f>IFERROR(INDEX(Productos!$C$2:$C$321,MATCH(B175,Productos!$A$2:$A$321,0)),"")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IFERROR(INDEX(Productos!$B$2:$B$321,MATCH(B176,Productos!$A$2:$A$321,0)),"")</f>
        <v/>
      </c>
      <c r="D176" s="7">
        <f>IFERROR(INDEX(Productos!$C$2:$C$321,MATCH(B176,Productos!$A$2:$A$321,0)),"")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IFERROR(INDEX(Productos!$B$2:$B$321,MATCH(B177,Productos!$A$2:$A$321,0)),"")</f>
        <v/>
      </c>
      <c r="D177" s="7">
        <f>IFERROR(INDEX(Productos!$C$2:$C$321,MATCH(B177,Productos!$A$2:$A$321,0)),"")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IFERROR(INDEX(Productos!$B$2:$B$321,MATCH(B178,Productos!$A$2:$A$321,0)),"")</f>
        <v/>
      </c>
      <c r="D178" s="7">
        <f>IFERROR(INDEX(Productos!$C$2:$C$321,MATCH(B178,Productos!$A$2:$A$321,0)),"")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IFERROR(INDEX(Productos!$B$2:$B$321,MATCH(B179,Productos!$A$2:$A$321,0)),"")</f>
        <v/>
      </c>
      <c r="D179" s="7">
        <f>IFERROR(INDEX(Productos!$C$2:$C$321,MATCH(B179,Productos!$A$2:$A$321,0)),"")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IFERROR(INDEX(Productos!$B$2:$B$321,MATCH(B180,Productos!$A$2:$A$321,0)),"")</f>
        <v/>
      </c>
      <c r="D180" s="7">
        <f>IFERROR(INDEX(Productos!$C$2:$C$321,MATCH(B180,Productos!$A$2:$A$321,0)),"")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IFERROR(INDEX(Productos!$B$2:$B$321,MATCH(B181,Productos!$A$2:$A$321,0)),"")</f>
        <v/>
      </c>
      <c r="D181" s="7">
        <f>IFERROR(INDEX(Productos!$C$2:$C$321,MATCH(B181,Productos!$A$2:$A$321,0)),"")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IFERROR(INDEX(Productos!$B$2:$B$321,MATCH(B182,Productos!$A$2:$A$321,0)),"")</f>
        <v/>
      </c>
      <c r="D182" s="7">
        <f>IFERROR(INDEX(Productos!$C$2:$C$321,MATCH(B182,Productos!$A$2:$A$321,0)),"")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IFERROR(INDEX(Productos!$B$2:$B$321,MATCH(B183,Productos!$A$2:$A$321,0)),"")</f>
        <v/>
      </c>
      <c r="D183" s="7">
        <f>IFERROR(INDEX(Productos!$C$2:$C$321,MATCH(B183,Productos!$A$2:$A$321,0)),"")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IFERROR(INDEX(Productos!$B$2:$B$321,MATCH(B184,Productos!$A$2:$A$321,0)),"")</f>
        <v/>
      </c>
      <c r="D184" s="7">
        <f>IFERROR(INDEX(Productos!$C$2:$C$321,MATCH(B184,Productos!$A$2:$A$321,0)),"")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IFERROR(INDEX(Productos!$B$2:$B$321,MATCH(B185,Productos!$A$2:$A$321,0)),"")</f>
        <v/>
      </c>
      <c r="D185" s="7">
        <f>IFERROR(INDEX(Productos!$C$2:$C$321,MATCH(B185,Productos!$A$2:$A$321,0)),"")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IFERROR(INDEX(Productos!$B$2:$B$321,MATCH(B186,Productos!$A$2:$A$321,0)),"")</f>
        <v/>
      </c>
      <c r="D186" s="7">
        <f>IFERROR(INDEX(Productos!$C$2:$C$321,MATCH(B186,Productos!$A$2:$A$321,0)),"")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IFERROR(INDEX(Productos!$B$2:$B$321,MATCH(B187,Productos!$A$2:$A$321,0)),"")</f>
        <v/>
      </c>
      <c r="D187" s="7">
        <f>IFERROR(INDEX(Productos!$C$2:$C$321,MATCH(B187,Productos!$A$2:$A$321,0)),"")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IFERROR(INDEX(Productos!$B$2:$B$321,MATCH(B188,Productos!$A$2:$A$321,0)),"")</f>
        <v/>
      </c>
      <c r="D188" s="7">
        <f>IFERROR(INDEX(Productos!$C$2:$C$321,MATCH(B188,Productos!$A$2:$A$321,0)),"")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IFERROR(INDEX(Productos!$B$2:$B$321,MATCH(B189,Productos!$A$2:$A$321,0)),"")</f>
        <v/>
      </c>
      <c r="D189" s="7">
        <f>IFERROR(INDEX(Productos!$C$2:$C$321,MATCH(B189,Productos!$A$2:$A$321,0)),"")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IFERROR(INDEX(Productos!$B$2:$B$321,MATCH(B190,Productos!$A$2:$A$321,0)),"")</f>
        <v/>
      </c>
      <c r="D190" s="7">
        <f>IFERROR(INDEX(Productos!$C$2:$C$321,MATCH(B190,Productos!$A$2:$A$321,0)),"")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IFERROR(INDEX(Productos!$B$2:$B$321,MATCH(B191,Productos!$A$2:$A$321,0)),"")</f>
        <v/>
      </c>
      <c r="D191" s="7">
        <f>IFERROR(INDEX(Productos!$C$2:$C$321,MATCH(B191,Productos!$A$2:$A$321,0)),"")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IFERROR(INDEX(Productos!$B$2:$B$321,MATCH(B192,Productos!$A$2:$A$321,0)),"")</f>
        <v/>
      </c>
      <c r="D192" s="7">
        <f>IFERROR(INDEX(Productos!$C$2:$C$321,MATCH(B192,Productos!$A$2:$A$321,0)),"")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IFERROR(INDEX(Productos!$B$2:$B$321,MATCH(B193,Productos!$A$2:$A$321,0)),"")</f>
        <v/>
      </c>
      <c r="D193" s="7">
        <f>IFERROR(INDEX(Productos!$C$2:$C$321,MATCH(B193,Productos!$A$2:$A$321,0)),"")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IFERROR(INDEX(Productos!$B$2:$B$321,MATCH(B194,Productos!$A$2:$A$321,0)),"")</f>
        <v/>
      </c>
      <c r="D194" s="7">
        <f>IFERROR(INDEX(Productos!$C$2:$C$321,MATCH(B194,Productos!$A$2:$A$321,0)),"")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IFERROR(INDEX(Productos!$B$2:$B$321,MATCH(B195,Productos!$A$2:$A$321,0)),"")</f>
        <v/>
      </c>
      <c r="D195" s="7">
        <f>IFERROR(INDEX(Productos!$C$2:$C$321,MATCH(B195,Productos!$A$2:$A$321,0)),"")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IFERROR(INDEX(Productos!$B$2:$B$321,MATCH(B196,Productos!$A$2:$A$321,0)),"")</f>
        <v/>
      </c>
      <c r="D196" s="7">
        <f>IFERROR(INDEX(Productos!$C$2:$C$321,MATCH(B196,Productos!$A$2:$A$321,0)),"")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IFERROR(INDEX(Productos!$B$2:$B$321,MATCH(B197,Productos!$A$2:$A$321,0)),"")</f>
        <v/>
      </c>
      <c r="D197" s="7">
        <f>IFERROR(INDEX(Productos!$C$2:$C$321,MATCH(B197,Productos!$A$2:$A$321,0)),"")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IFERROR(INDEX(Productos!$B$2:$B$321,MATCH(B198,Productos!$A$2:$A$321,0)),"")</f>
        <v/>
      </c>
      <c r="D198" s="7">
        <f>IFERROR(INDEX(Productos!$C$2:$C$321,MATCH(B198,Productos!$A$2:$A$321,0)),"")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IFERROR(INDEX(Productos!$B$2:$B$321,MATCH(B199,Productos!$A$2:$A$321,0)),"")</f>
        <v/>
      </c>
      <c r="D199" s="7">
        <f>IFERROR(INDEX(Productos!$C$2:$C$321,MATCH(B199,Productos!$A$2:$A$321,0)),"")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IFERROR(INDEX(Productos!$B$2:$B$321,MATCH(B200,Productos!$A$2:$A$321,0)),"")</f>
        <v/>
      </c>
      <c r="D200" s="7">
        <f>IFERROR(INDEX(Productos!$C$2:$C$321,MATCH(B200,Productos!$A$2:$A$321,0)),"")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IFERROR(INDEX(Productos!$B$2:$B$321,MATCH(B201,Productos!$A$2:$A$321,0)),"")</f>
        <v/>
      </c>
      <c r="D201" s="7">
        <f>IFERROR(INDEX(Productos!$C$2:$C$321,MATCH(B201,Productos!$A$2:$A$321,0)),"")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IFERROR(INDEX(Productos!$B$2:$B$321,MATCH(B202,Productos!$A$2:$A$321,0)),"")</f>
        <v/>
      </c>
      <c r="D202" s="7">
        <f>IFERROR(INDEX(Productos!$C$2:$C$321,MATCH(B202,Productos!$A$2:$A$321,0)),"")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IFERROR(INDEX(Productos!$B$2:$B$321,MATCH(B203,Productos!$A$2:$A$321,0)),"")</f>
        <v/>
      </c>
      <c r="D203" s="7">
        <f>IFERROR(INDEX(Productos!$C$2:$C$321,MATCH(B203,Productos!$A$2:$A$321,0)),"")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IFERROR(INDEX(Productos!$B$2:$B$321,MATCH(B204,Productos!$A$2:$A$321,0)),"")</f>
        <v/>
      </c>
      <c r="D204" s="7">
        <f>IFERROR(INDEX(Productos!$C$2:$C$321,MATCH(B204,Productos!$A$2:$A$321,0)),"")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IFERROR(INDEX(Productos!$B$2:$B$321,MATCH(B205,Productos!$A$2:$A$321,0)),"")</f>
        <v/>
      </c>
      <c r="D205" s="7">
        <f>IFERROR(INDEX(Productos!$C$2:$C$321,MATCH(B205,Productos!$A$2:$A$321,0)),"")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IFERROR(INDEX(Productos!$B$2:$B$321,MATCH(B206,Productos!$A$2:$A$321,0)),"")</f>
        <v/>
      </c>
      <c r="D206" s="7">
        <f>IFERROR(INDEX(Productos!$C$2:$C$321,MATCH(B206,Productos!$A$2:$A$321,0)),"")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IFERROR(INDEX(Productos!$B$2:$B$321,MATCH(B207,Productos!$A$2:$A$321,0)),"")</f>
        <v/>
      </c>
      <c r="D207" s="7">
        <f>IFERROR(INDEX(Productos!$C$2:$C$321,MATCH(B207,Productos!$A$2:$A$321,0)),"")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IFERROR(INDEX(Productos!$B$2:$B$321,MATCH(B208,Productos!$A$2:$A$321,0)),"")</f>
        <v/>
      </c>
      <c r="D208" s="7">
        <f>IFERROR(INDEX(Productos!$C$2:$C$321,MATCH(B208,Productos!$A$2:$A$321,0)),"")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IFERROR(INDEX(Productos!$B$2:$B$321,MATCH(B209,Productos!$A$2:$A$321,0)),"")</f>
        <v/>
      </c>
      <c r="D209" s="7">
        <f>IFERROR(INDEX(Productos!$C$2:$C$321,MATCH(B209,Productos!$A$2:$A$321,0)),"")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IFERROR(INDEX(Productos!$B$2:$B$321,MATCH(B210,Productos!$A$2:$A$321,0)),"")</f>
        <v/>
      </c>
      <c r="D210" s="7">
        <f>IFERROR(INDEX(Productos!$C$2:$C$321,MATCH(B210,Productos!$A$2:$A$321,0)),"")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IFERROR(INDEX(Productos!$B$2:$B$321,MATCH(B211,Productos!$A$2:$A$321,0)),"")</f>
        <v/>
      </c>
      <c r="D211" s="7">
        <f>IFERROR(INDEX(Productos!$C$2:$C$321,MATCH(B211,Productos!$A$2:$A$321,0)),"")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IFERROR(INDEX(Productos!$B$2:$B$321,MATCH(B212,Productos!$A$2:$A$321,0)),"")</f>
        <v/>
      </c>
      <c r="D212" s="7">
        <f>IFERROR(INDEX(Productos!$C$2:$C$321,MATCH(B212,Productos!$A$2:$A$321,0)),"")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IFERROR(INDEX(Productos!$B$2:$B$321,MATCH(B213,Productos!$A$2:$A$321,0)),"")</f>
        <v/>
      </c>
      <c r="D213" s="7">
        <f>IFERROR(INDEX(Productos!$C$2:$C$321,MATCH(B213,Productos!$A$2:$A$321,0)),"")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IFERROR(INDEX(Productos!$B$2:$B$321,MATCH(B214,Productos!$A$2:$A$321,0)),"")</f>
        <v/>
      </c>
      <c r="D214" s="7">
        <f>IFERROR(INDEX(Productos!$C$2:$C$321,MATCH(B214,Productos!$A$2:$A$321,0)),"")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IFERROR(INDEX(Productos!$B$2:$B$321,MATCH(B215,Productos!$A$2:$A$321,0)),"")</f>
        <v/>
      </c>
      <c r="D215" s="7">
        <f>IFERROR(INDEX(Productos!$C$2:$C$321,MATCH(B215,Productos!$A$2:$A$321,0)),"")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IFERROR(INDEX(Productos!$B$2:$B$321,MATCH(B216,Productos!$A$2:$A$321,0)),"")</f>
        <v/>
      </c>
      <c r="D216" s="7">
        <f>IFERROR(INDEX(Productos!$C$2:$C$321,MATCH(B216,Productos!$A$2:$A$321,0)),"")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IFERROR(INDEX(Productos!$B$2:$B$321,MATCH(B217,Productos!$A$2:$A$321,0)),"")</f>
        <v/>
      </c>
      <c r="D217" s="7">
        <f>IFERROR(INDEX(Productos!$C$2:$C$321,MATCH(B217,Productos!$A$2:$A$321,0)),"")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IFERROR(INDEX(Productos!$B$2:$B$321,MATCH(B218,Productos!$A$2:$A$321,0)),"")</f>
        <v/>
      </c>
      <c r="D218" s="7">
        <f>IFERROR(INDEX(Productos!$C$2:$C$321,MATCH(B218,Productos!$A$2:$A$321,0)),"")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IFERROR(INDEX(Productos!$B$2:$B$321,MATCH(B219,Productos!$A$2:$A$321,0)),"")</f>
        <v/>
      </c>
      <c r="D219" s="7">
        <f>IFERROR(INDEX(Productos!$C$2:$C$321,MATCH(B219,Productos!$A$2:$A$321,0)),"")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IFERROR(INDEX(Productos!$B$2:$B$321,MATCH(B220,Productos!$A$2:$A$321,0)),"")</f>
        <v/>
      </c>
      <c r="D220" s="7">
        <f>IFERROR(INDEX(Productos!$C$2:$C$321,MATCH(B220,Productos!$A$2:$A$321,0)),"")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IFERROR(INDEX(Productos!$B$2:$B$321,MATCH(B221,Productos!$A$2:$A$321,0)),"")</f>
        <v/>
      </c>
      <c r="D221" s="7">
        <f>IFERROR(INDEX(Productos!$C$2:$C$321,MATCH(B221,Productos!$A$2:$A$321,0)),"")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IFERROR(INDEX(Productos!$B$2:$B$321,MATCH(B222,Productos!$A$2:$A$321,0)),"")</f>
        <v/>
      </c>
      <c r="D222" s="7">
        <f>IFERROR(INDEX(Productos!$C$2:$C$321,MATCH(B222,Productos!$A$2:$A$321,0)),"")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IFERROR(INDEX(Productos!$B$2:$B$321,MATCH(B223,Productos!$A$2:$A$321,0)),"")</f>
        <v/>
      </c>
      <c r="D223" s="7">
        <f>IFERROR(INDEX(Productos!$C$2:$C$321,MATCH(B223,Productos!$A$2:$A$321,0)),"")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IFERROR(INDEX(Productos!$B$2:$B$321,MATCH(B224,Productos!$A$2:$A$321,0)),"")</f>
        <v/>
      </c>
      <c r="D224" s="7">
        <f>IFERROR(INDEX(Productos!$C$2:$C$321,MATCH(B224,Productos!$A$2:$A$321,0)),"")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IFERROR(INDEX(Productos!$B$2:$B$321,MATCH(B225,Productos!$A$2:$A$321,0)),"")</f>
        <v/>
      </c>
      <c r="D225" s="7">
        <f>IFERROR(INDEX(Productos!$C$2:$C$321,MATCH(B225,Productos!$A$2:$A$321,0)),"")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IFERROR(INDEX(Productos!$B$2:$B$321,MATCH(B226,Productos!$A$2:$A$321,0)),"")</f>
        <v/>
      </c>
      <c r="D226" s="7">
        <f>IFERROR(INDEX(Productos!$C$2:$C$321,MATCH(B226,Productos!$A$2:$A$321,0)),"")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IFERROR(INDEX(Productos!$B$2:$B$321,MATCH(B227,Productos!$A$2:$A$321,0)),"")</f>
        <v/>
      </c>
      <c r="D227" s="7">
        <f>IFERROR(INDEX(Productos!$C$2:$C$321,MATCH(B227,Productos!$A$2:$A$321,0)),"")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IFERROR(INDEX(Productos!$B$2:$B$321,MATCH(B228,Productos!$A$2:$A$321,0)),"")</f>
        <v/>
      </c>
      <c r="D228" s="7">
        <f>IFERROR(INDEX(Productos!$C$2:$C$321,MATCH(B228,Productos!$A$2:$A$321,0)),"")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IFERROR(INDEX(Productos!$B$2:$B$321,MATCH(B229,Productos!$A$2:$A$321,0)),"")</f>
        <v/>
      </c>
      <c r="D229" s="7">
        <f>IFERROR(INDEX(Productos!$C$2:$C$321,MATCH(B229,Productos!$A$2:$A$321,0)),"")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IFERROR(INDEX(Productos!$B$2:$B$321,MATCH(B230,Productos!$A$2:$A$321,0)),"")</f>
        <v/>
      </c>
      <c r="D230" s="7">
        <f>IFERROR(INDEX(Productos!$C$2:$C$321,MATCH(B230,Productos!$A$2:$A$321,0)),"")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IFERROR(INDEX(Productos!$B$2:$B$321,MATCH(B231,Productos!$A$2:$A$321,0)),"")</f>
        <v/>
      </c>
      <c r="D231" s="7">
        <f>IFERROR(INDEX(Productos!$C$2:$C$321,MATCH(B231,Productos!$A$2:$A$321,0)),"")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IFERROR(INDEX(Productos!$B$2:$B$321,MATCH(B232,Productos!$A$2:$A$321,0)),"")</f>
        <v/>
      </c>
      <c r="D232" s="7">
        <f>IFERROR(INDEX(Productos!$C$2:$C$321,MATCH(B232,Productos!$A$2:$A$321,0)),"")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IFERROR(INDEX(Productos!$B$2:$B$321,MATCH(B233,Productos!$A$2:$A$321,0)),"")</f>
        <v/>
      </c>
      <c r="D233" s="7">
        <f>IFERROR(INDEX(Productos!$C$2:$C$321,MATCH(B233,Productos!$A$2:$A$321,0)),"")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IFERROR(INDEX(Productos!$B$2:$B$321,MATCH(B234,Productos!$A$2:$A$321,0)),"")</f>
        <v/>
      </c>
      <c r="D234" s="7">
        <f>IFERROR(INDEX(Productos!$C$2:$C$321,MATCH(B234,Productos!$A$2:$A$321,0)),"")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IFERROR(INDEX(Productos!$B$2:$B$321,MATCH(B235,Productos!$A$2:$A$321,0)),"")</f>
        <v/>
      </c>
      <c r="D235" s="7">
        <f>IFERROR(INDEX(Productos!$C$2:$C$321,MATCH(B235,Productos!$A$2:$A$321,0)),"")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IFERROR(INDEX(Productos!$B$2:$B$321,MATCH(B236,Productos!$A$2:$A$321,0)),"")</f>
        <v/>
      </c>
      <c r="D236" s="7">
        <f>IFERROR(INDEX(Productos!$C$2:$C$321,MATCH(B236,Productos!$A$2:$A$321,0)),"")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IFERROR(INDEX(Productos!$B$2:$B$321,MATCH(B237,Productos!$A$2:$A$321,0)),"")</f>
        <v/>
      </c>
      <c r="D237" s="7">
        <f>IFERROR(INDEX(Productos!$C$2:$C$321,MATCH(B237,Productos!$A$2:$A$321,0)),"")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IFERROR(INDEX(Productos!$B$2:$B$321,MATCH(B238,Productos!$A$2:$A$321,0)),"")</f>
        <v/>
      </c>
      <c r="D238" s="7">
        <f>IFERROR(INDEX(Productos!$C$2:$C$321,MATCH(B238,Productos!$A$2:$A$321,0)),"")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IFERROR(INDEX(Productos!$B$2:$B$321,MATCH(B239,Productos!$A$2:$A$321,0)),"")</f>
        <v/>
      </c>
      <c r="D239" s="7">
        <f>IFERROR(INDEX(Productos!$C$2:$C$321,MATCH(B239,Productos!$A$2:$A$321,0)),"")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IFERROR(INDEX(Productos!$B$2:$B$321,MATCH(B240,Productos!$A$2:$A$321,0)),"")</f>
        <v/>
      </c>
      <c r="D240" s="7">
        <f>IFERROR(INDEX(Productos!$C$2:$C$321,MATCH(B240,Productos!$A$2:$A$321,0)),"")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IFERROR(INDEX(Productos!$B$2:$B$321,MATCH(B241,Productos!$A$2:$A$321,0)),"")</f>
        <v/>
      </c>
      <c r="D241" s="7">
        <f>IFERROR(INDEX(Productos!$C$2:$C$321,MATCH(B241,Productos!$A$2:$A$321,0)),"")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IFERROR(INDEX(Productos!$B$2:$B$321,MATCH(B242,Productos!$A$2:$A$321,0)),"")</f>
        <v/>
      </c>
      <c r="D242" s="7">
        <f>IFERROR(INDEX(Productos!$C$2:$C$321,MATCH(B242,Productos!$A$2:$A$321,0)),"")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IFERROR(INDEX(Productos!$B$2:$B$321,MATCH(B243,Productos!$A$2:$A$321,0)),"")</f>
        <v/>
      </c>
      <c r="D243" s="7">
        <f>IFERROR(INDEX(Productos!$C$2:$C$321,MATCH(B243,Productos!$A$2:$A$321,0)),"")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IFERROR(INDEX(Productos!$B$2:$B$321,MATCH(B244,Productos!$A$2:$A$321,0)),"")</f>
        <v/>
      </c>
      <c r="D244" s="7">
        <f>IFERROR(INDEX(Productos!$C$2:$C$321,MATCH(B244,Productos!$A$2:$A$321,0)),"")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IFERROR(INDEX(Productos!$B$2:$B$321,MATCH(B245,Productos!$A$2:$A$321,0)),"")</f>
        <v/>
      </c>
      <c r="D245" s="7">
        <f>IFERROR(INDEX(Productos!$C$2:$C$321,MATCH(B245,Productos!$A$2:$A$321,0)),"")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IFERROR(INDEX(Productos!$B$2:$B$321,MATCH(B246,Productos!$A$2:$A$321,0)),"")</f>
        <v/>
      </c>
      <c r="D246" s="7">
        <f>IFERROR(INDEX(Productos!$C$2:$C$321,MATCH(B246,Productos!$A$2:$A$321,0)),"")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IFERROR(INDEX(Productos!$B$2:$B$321,MATCH(B247,Productos!$A$2:$A$321,0)),"")</f>
        <v/>
      </c>
      <c r="D247" s="7">
        <f>IFERROR(INDEX(Productos!$C$2:$C$321,MATCH(B247,Productos!$A$2:$A$321,0)),"")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IFERROR(INDEX(Productos!$B$2:$B$321,MATCH(B248,Productos!$A$2:$A$321,0)),"")</f>
        <v/>
      </c>
      <c r="D248" s="7">
        <f>IFERROR(INDEX(Productos!$C$2:$C$321,MATCH(B248,Productos!$A$2:$A$321,0)),"")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IFERROR(INDEX(Productos!$B$2:$B$321,MATCH(B249,Productos!$A$2:$A$321,0)),"")</f>
        <v/>
      </c>
      <c r="D249" s="7">
        <f>IFERROR(INDEX(Productos!$C$2:$C$321,MATCH(B249,Productos!$A$2:$A$321,0)),"")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IFERROR(INDEX(Productos!$B$2:$B$321,MATCH(B250,Productos!$A$2:$A$321,0)),"")</f>
        <v/>
      </c>
      <c r="D250" s="7">
        <f>IFERROR(INDEX(Productos!$C$2:$C$321,MATCH(B250,Productos!$A$2:$A$321,0)),"")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IFERROR(INDEX(Productos!$B$2:$B$321,MATCH(B251,Productos!$A$2:$A$321,0)),"")</f>
        <v/>
      </c>
      <c r="D251" s="7">
        <f>IFERROR(INDEX(Productos!$C$2:$C$321,MATCH(B251,Productos!$A$2:$A$321,0)),"")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IFERROR(INDEX(Productos!$B$2:$B$321,MATCH(B252,Productos!$A$2:$A$321,0)),"")</f>
        <v/>
      </c>
      <c r="D252" s="7">
        <f>IFERROR(INDEX(Productos!$C$2:$C$321,MATCH(B252,Productos!$A$2:$A$321,0)),"")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IFERROR(INDEX(Productos!$B$2:$B$321,MATCH(B253,Productos!$A$2:$A$321,0)),"")</f>
        <v/>
      </c>
      <c r="D253" s="7">
        <f>IFERROR(INDEX(Productos!$C$2:$C$321,MATCH(B253,Productos!$A$2:$A$321,0)),"")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IFERROR(INDEX(Productos!$B$2:$B$321,MATCH(B254,Productos!$A$2:$A$321,0)),"")</f>
        <v/>
      </c>
      <c r="D254" s="7">
        <f>IFERROR(INDEX(Productos!$C$2:$C$321,MATCH(B254,Productos!$A$2:$A$321,0)),"")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IFERROR(INDEX(Productos!$B$2:$B$321,MATCH(B255,Productos!$A$2:$A$321,0)),"")</f>
        <v/>
      </c>
      <c r="D255" s="7">
        <f>IFERROR(INDEX(Productos!$C$2:$C$321,MATCH(B255,Productos!$A$2:$A$321,0)),"")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IFERROR(INDEX(Productos!$B$2:$B$321,MATCH(B256,Productos!$A$2:$A$321,0)),"")</f>
        <v/>
      </c>
      <c r="D256" s="7">
        <f>IFERROR(INDEX(Productos!$C$2:$C$321,MATCH(B256,Productos!$A$2:$A$321,0)),"")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IFERROR(INDEX(Productos!$B$2:$B$321,MATCH(B257,Productos!$A$2:$A$321,0)),"")</f>
        <v/>
      </c>
      <c r="D257" s="7">
        <f>IFERROR(INDEX(Productos!$C$2:$C$321,MATCH(B257,Productos!$A$2:$A$321,0)),"")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IFERROR(INDEX(Productos!$B$2:$B$321,MATCH(B258,Productos!$A$2:$A$321,0)),"")</f>
        <v/>
      </c>
      <c r="D258" s="7">
        <f>IFERROR(INDEX(Productos!$C$2:$C$321,MATCH(B258,Productos!$A$2:$A$321,0)),"")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IFERROR(INDEX(Productos!$B$2:$B$321,MATCH(B259,Productos!$A$2:$A$321,0)),"")</f>
        <v/>
      </c>
      <c r="D259" s="7">
        <f>IFERROR(INDEX(Productos!$C$2:$C$321,MATCH(B259,Productos!$A$2:$A$321,0)),"")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IFERROR(INDEX(Productos!$B$2:$B$321,MATCH(B260,Productos!$A$2:$A$321,0)),"")</f>
        <v/>
      </c>
      <c r="D260" s="7">
        <f>IFERROR(INDEX(Productos!$C$2:$C$321,MATCH(B260,Productos!$A$2:$A$321,0)),"")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IFERROR(INDEX(Productos!$B$2:$B$321,MATCH(B261,Productos!$A$2:$A$321,0)),"")</f>
        <v/>
      </c>
      <c r="D261" s="7">
        <f>IFERROR(INDEX(Productos!$C$2:$C$321,MATCH(B261,Productos!$A$2:$A$321,0)),"")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IFERROR(INDEX(Productos!$B$2:$B$321,MATCH(B262,Productos!$A$2:$A$321,0)),"")</f>
        <v/>
      </c>
      <c r="D262" s="7">
        <f>IFERROR(INDEX(Productos!$C$2:$C$321,MATCH(B262,Productos!$A$2:$A$321,0)),"")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IFERROR(INDEX(Productos!$B$2:$B$321,MATCH(B263,Productos!$A$2:$A$321,0)),"")</f>
        <v/>
      </c>
      <c r="D263" s="7">
        <f>IFERROR(INDEX(Productos!$C$2:$C$321,MATCH(B263,Productos!$A$2:$A$321,0)),"")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IFERROR(INDEX(Productos!$B$2:$B$321,MATCH(B264,Productos!$A$2:$A$321,0)),"")</f>
        <v/>
      </c>
      <c r="D264" s="7">
        <f>IFERROR(INDEX(Productos!$C$2:$C$321,MATCH(B264,Productos!$A$2:$A$321,0)),"")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IFERROR(INDEX(Productos!$B$2:$B$321,MATCH(B265,Productos!$A$2:$A$321,0)),"")</f>
        <v/>
      </c>
      <c r="D265" s="7">
        <f>IFERROR(INDEX(Productos!$C$2:$C$321,MATCH(B265,Productos!$A$2:$A$321,0)),"")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IFERROR(INDEX(Productos!$B$2:$B$321,MATCH(B266,Productos!$A$2:$A$321,0)),"")</f>
        <v/>
      </c>
      <c r="D266" s="7">
        <f>IFERROR(INDEX(Productos!$C$2:$C$321,MATCH(B266,Productos!$A$2:$A$321,0)),"")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IFERROR(INDEX(Productos!$B$2:$B$321,MATCH(B267,Productos!$A$2:$A$321,0)),"")</f>
        <v/>
      </c>
      <c r="D267" s="7">
        <f>IFERROR(INDEX(Productos!$C$2:$C$321,MATCH(B267,Productos!$A$2:$A$321,0)),"")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IFERROR(INDEX(Productos!$B$2:$B$321,MATCH(B268,Productos!$A$2:$A$321,0)),"")</f>
        <v/>
      </c>
      <c r="D268" s="7">
        <f>IFERROR(INDEX(Productos!$C$2:$C$321,MATCH(B268,Productos!$A$2:$A$321,0)),"")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IFERROR(INDEX(Productos!$B$2:$B$321,MATCH(B269,Productos!$A$2:$A$321,0)),"")</f>
        <v/>
      </c>
      <c r="D269" s="7">
        <f>IFERROR(INDEX(Productos!$C$2:$C$321,MATCH(B269,Productos!$A$2:$A$321,0)),"")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IFERROR(INDEX(Productos!$B$2:$B$321,MATCH(B270,Productos!$A$2:$A$321,0)),"")</f>
        <v/>
      </c>
      <c r="D270" s="7">
        <f>IFERROR(INDEX(Productos!$C$2:$C$321,MATCH(B270,Productos!$A$2:$A$321,0)),"")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IFERROR(INDEX(Productos!$B$2:$B$321,MATCH(B271,Productos!$A$2:$A$321,0)),"")</f>
        <v/>
      </c>
      <c r="D271" s="7">
        <f>IFERROR(INDEX(Productos!$C$2:$C$321,MATCH(B271,Productos!$A$2:$A$321,0)),"")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IFERROR(INDEX(Productos!$B$2:$B$321,MATCH(B272,Productos!$A$2:$A$321,0)),"")</f>
        <v/>
      </c>
      <c r="D272" s="7">
        <f>IFERROR(INDEX(Productos!$C$2:$C$321,MATCH(B272,Productos!$A$2:$A$321,0)),"")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IFERROR(INDEX(Productos!$B$2:$B$321,MATCH(B273,Productos!$A$2:$A$321,0)),"")</f>
        <v/>
      </c>
      <c r="D273" s="7">
        <f>IFERROR(INDEX(Productos!$C$2:$C$321,MATCH(B273,Productos!$A$2:$A$321,0)),"")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IFERROR(INDEX(Productos!$B$2:$B$321,MATCH(B274,Productos!$A$2:$A$321,0)),"")</f>
        <v/>
      </c>
      <c r="D274" s="7">
        <f>IFERROR(INDEX(Productos!$C$2:$C$321,MATCH(B274,Productos!$A$2:$A$321,0)),"")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IFERROR(INDEX(Productos!$B$2:$B$321,MATCH(B275,Productos!$A$2:$A$321,0)),"")</f>
        <v/>
      </c>
      <c r="D275" s="7">
        <f>IFERROR(INDEX(Productos!$C$2:$C$321,MATCH(B275,Productos!$A$2:$A$321,0)),"")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IFERROR(INDEX(Productos!$B$2:$B$321,MATCH(B276,Productos!$A$2:$A$321,0)),"")</f>
        <v/>
      </c>
      <c r="D276" s="7">
        <f>IFERROR(INDEX(Productos!$C$2:$C$321,MATCH(B276,Productos!$A$2:$A$321,0)),"")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IFERROR(INDEX(Productos!$B$2:$B$321,MATCH(B277,Productos!$A$2:$A$321,0)),"")</f>
        <v/>
      </c>
      <c r="D277" s="7">
        <f>IFERROR(INDEX(Productos!$C$2:$C$321,MATCH(B277,Productos!$A$2:$A$321,0)),"")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IFERROR(INDEX(Productos!$B$2:$B$321,MATCH(B278,Productos!$A$2:$A$321,0)),"")</f>
        <v/>
      </c>
      <c r="D278" s="7">
        <f>IFERROR(INDEX(Productos!$C$2:$C$321,MATCH(B278,Productos!$A$2:$A$321,0)),"")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IFERROR(INDEX(Productos!$B$2:$B$321,MATCH(B279,Productos!$A$2:$A$321,0)),"")</f>
        <v/>
      </c>
      <c r="D279" s="7">
        <f>IFERROR(INDEX(Productos!$C$2:$C$321,MATCH(B279,Productos!$A$2:$A$321,0)),"")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IFERROR(INDEX(Productos!$B$2:$B$321,MATCH(B280,Productos!$A$2:$A$321,0)),"")</f>
        <v/>
      </c>
      <c r="D280" s="7">
        <f>IFERROR(INDEX(Productos!$C$2:$C$321,MATCH(B280,Productos!$A$2:$A$321,0)),"")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IFERROR(INDEX(Productos!$B$2:$B$321,MATCH(B281,Productos!$A$2:$A$321,0)),"")</f>
        <v/>
      </c>
      <c r="D281" s="7">
        <f>IFERROR(INDEX(Productos!$C$2:$C$321,MATCH(B281,Productos!$A$2:$A$321,0)),"")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IFERROR(INDEX(Productos!$B$2:$B$321,MATCH(B282,Productos!$A$2:$A$321,0)),"")</f>
        <v/>
      </c>
      <c r="D282" s="7">
        <f>IFERROR(INDEX(Productos!$C$2:$C$321,MATCH(B282,Productos!$A$2:$A$321,0)),"")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IFERROR(INDEX(Productos!$B$2:$B$321,MATCH(B283,Productos!$A$2:$A$321,0)),"")</f>
        <v/>
      </c>
      <c r="D283" s="7">
        <f>IFERROR(INDEX(Productos!$C$2:$C$321,MATCH(B283,Productos!$A$2:$A$321,0)),"")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IFERROR(INDEX(Productos!$B$2:$B$321,MATCH(B284,Productos!$A$2:$A$321,0)),"")</f>
        <v/>
      </c>
      <c r="D284" s="7">
        <f>IFERROR(INDEX(Productos!$C$2:$C$321,MATCH(B284,Productos!$A$2:$A$321,0)),"")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IFERROR(INDEX(Productos!$B$2:$B$321,MATCH(B285,Productos!$A$2:$A$321,0)),"")</f>
        <v/>
      </c>
      <c r="D285" s="7">
        <f>IFERROR(INDEX(Productos!$C$2:$C$321,MATCH(B285,Productos!$A$2:$A$321,0)),"")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IFERROR(INDEX(Productos!$B$2:$B$321,MATCH(B286,Productos!$A$2:$A$321,0)),"")</f>
        <v/>
      </c>
      <c r="D286" s="7">
        <f>IFERROR(INDEX(Productos!$C$2:$C$321,MATCH(B286,Productos!$A$2:$A$321,0)),"")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IFERROR(INDEX(Productos!$B$2:$B$321,MATCH(B287,Productos!$A$2:$A$321,0)),"")</f>
        <v/>
      </c>
      <c r="D287" s="7">
        <f>IFERROR(INDEX(Productos!$C$2:$C$321,MATCH(B287,Productos!$A$2:$A$321,0)),"")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IFERROR(INDEX(Productos!$B$2:$B$321,MATCH(B288,Productos!$A$2:$A$321,0)),"")</f>
        <v/>
      </c>
      <c r="D288" s="7">
        <f>IFERROR(INDEX(Productos!$C$2:$C$321,MATCH(B288,Productos!$A$2:$A$321,0)),"")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IFERROR(INDEX(Productos!$B$2:$B$321,MATCH(B289,Productos!$A$2:$A$321,0)),"")</f>
        <v/>
      </c>
      <c r="D289" s="7">
        <f>IFERROR(INDEX(Productos!$C$2:$C$321,MATCH(B289,Productos!$A$2:$A$321,0)),"")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IFERROR(INDEX(Productos!$B$2:$B$321,MATCH(B290,Productos!$A$2:$A$321,0)),"")</f>
        <v/>
      </c>
      <c r="D290" s="7">
        <f>IFERROR(INDEX(Productos!$C$2:$C$321,MATCH(B290,Productos!$A$2:$A$321,0)),"")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IFERROR(INDEX(Productos!$B$2:$B$321,MATCH(B291,Productos!$A$2:$A$321,0)),"")</f>
        <v/>
      </c>
      <c r="D291" s="7">
        <f>IFERROR(INDEX(Productos!$C$2:$C$321,MATCH(B291,Productos!$A$2:$A$321,0)),"")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IFERROR(INDEX(Productos!$B$2:$B$321,MATCH(B292,Productos!$A$2:$A$321,0)),"")</f>
        <v/>
      </c>
      <c r="D292" s="7">
        <f>IFERROR(INDEX(Productos!$C$2:$C$321,MATCH(B292,Productos!$A$2:$A$321,0)),"")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IFERROR(INDEX(Productos!$B$2:$B$321,MATCH(B293,Productos!$A$2:$A$321,0)),"")</f>
        <v/>
      </c>
      <c r="D293" s="7">
        <f>IFERROR(INDEX(Productos!$C$2:$C$321,MATCH(B293,Productos!$A$2:$A$321,0)),"")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IFERROR(INDEX(Productos!$B$2:$B$321,MATCH(B294,Productos!$A$2:$A$321,0)),"")</f>
        <v/>
      </c>
      <c r="D294" s="7">
        <f>IFERROR(INDEX(Productos!$C$2:$C$321,MATCH(B294,Productos!$A$2:$A$321,0)),"")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IFERROR(INDEX(Productos!$B$2:$B$321,MATCH(B295,Productos!$A$2:$A$321,0)),"")</f>
        <v/>
      </c>
      <c r="D295" s="7">
        <f>IFERROR(INDEX(Productos!$C$2:$C$321,MATCH(B295,Productos!$A$2:$A$321,0)),"")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IFERROR(INDEX(Productos!$B$2:$B$321,MATCH(B296,Productos!$A$2:$A$321,0)),"")</f>
        <v/>
      </c>
      <c r="D296" s="7">
        <f>IFERROR(INDEX(Productos!$C$2:$C$321,MATCH(B296,Productos!$A$2:$A$321,0)),"")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IFERROR(INDEX(Productos!$B$2:$B$321,MATCH(B297,Productos!$A$2:$A$321,0)),"")</f>
        <v/>
      </c>
      <c r="D297" s="7">
        <f>IFERROR(INDEX(Productos!$C$2:$C$321,MATCH(B297,Productos!$A$2:$A$321,0)),"")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IFERROR(INDEX(Productos!$B$2:$B$321,MATCH(B298,Productos!$A$2:$A$321,0)),"")</f>
        <v/>
      </c>
      <c r="D298" s="7">
        <f>IFERROR(INDEX(Productos!$C$2:$C$321,MATCH(B298,Productos!$A$2:$A$321,0)),"")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IFERROR(INDEX(Productos!$B$2:$B$321,MATCH(B299,Productos!$A$2:$A$321,0)),"")</f>
        <v/>
      </c>
      <c r="D299" s="7">
        <f>IFERROR(INDEX(Productos!$C$2:$C$321,MATCH(B299,Productos!$A$2:$A$321,0)),"")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IFERROR(INDEX(Productos!$B$2:$B$321,MATCH(B300,Productos!$A$2:$A$321,0)),"")</f>
        <v/>
      </c>
      <c r="D300" s="7">
        <f>IFERROR(INDEX(Productos!$C$2:$C$321,MATCH(B300,Productos!$A$2:$A$321,0)),"")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IFERROR(INDEX(Productos!$B$2:$B$321,MATCH(B301,Productos!$A$2:$A$321,0)),"")</f>
        <v/>
      </c>
      <c r="D301" s="7">
        <f>IFERROR(INDEX(Productos!$C$2:$C$321,MATCH(B301,Productos!$A$2:$A$321,0)),"")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IFERROR(INDEX(Productos!$B$2:$B$321,MATCH(B302,Productos!$A$2:$A$321,0)),"")</f>
        <v/>
      </c>
      <c r="D302" s="7">
        <f>IFERROR(INDEX(Productos!$C$2:$C$321,MATCH(B302,Productos!$A$2:$A$321,0)),"")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IFERROR(INDEX(Productos!$B$2:$B$321,MATCH(B303,Productos!$A$2:$A$321,0)),"")</f>
        <v/>
      </c>
      <c r="D303" s="7">
        <f>IFERROR(INDEX(Productos!$C$2:$C$321,MATCH(B303,Productos!$A$2:$A$321,0)),"")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IFERROR(INDEX(Productos!$B$2:$B$321,MATCH(B304,Productos!$A$2:$A$321,0)),"")</f>
        <v/>
      </c>
      <c r="D304" s="7">
        <f>IFERROR(INDEX(Productos!$C$2:$C$321,MATCH(B304,Productos!$A$2:$A$321,0)),"")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IFERROR(INDEX(Productos!$B$2:$B$321,MATCH(B305,Productos!$A$2:$A$321,0)),"")</f>
        <v/>
      </c>
      <c r="D305" s="7">
        <f>IFERROR(INDEX(Productos!$C$2:$C$321,MATCH(B305,Productos!$A$2:$A$321,0)),"")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IFERROR(INDEX(Productos!$B$2:$B$321,MATCH(B306,Productos!$A$2:$A$321,0)),"")</f>
        <v/>
      </c>
      <c r="D306" s="7">
        <f>IFERROR(INDEX(Productos!$C$2:$C$321,MATCH(B306,Productos!$A$2:$A$321,0)),"")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IFERROR(INDEX(Productos!$B$2:$B$321,MATCH(B307,Productos!$A$2:$A$321,0)),"")</f>
        <v/>
      </c>
      <c r="D307" s="7">
        <f>IFERROR(INDEX(Productos!$C$2:$C$321,MATCH(B307,Productos!$A$2:$A$321,0)),"")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IFERROR(INDEX(Productos!$B$2:$B$321,MATCH(B308,Productos!$A$2:$A$321,0)),"")</f>
        <v/>
      </c>
      <c r="D308" s="7">
        <f>IFERROR(INDEX(Productos!$C$2:$C$321,MATCH(B308,Productos!$A$2:$A$321,0)),"")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IFERROR(INDEX(Productos!$B$2:$B$321,MATCH(B309,Productos!$A$2:$A$321,0)),"")</f>
        <v/>
      </c>
      <c r="D309" s="7">
        <f>IFERROR(INDEX(Productos!$C$2:$C$321,MATCH(B309,Productos!$A$2:$A$321,0)),"")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IFERROR(INDEX(Productos!$B$2:$B$321,MATCH(B310,Productos!$A$2:$A$321,0)),"")</f>
        <v/>
      </c>
      <c r="D310" s="7">
        <f>IFERROR(INDEX(Productos!$C$2:$C$321,MATCH(B310,Productos!$A$2:$A$321,0)),"")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IFERROR(INDEX(Productos!$B$2:$B$321,MATCH(B311,Productos!$A$2:$A$321,0)),"")</f>
        <v/>
      </c>
      <c r="D311" s="7">
        <f>IFERROR(INDEX(Productos!$C$2:$C$321,MATCH(B311,Productos!$A$2:$A$321,0)),"")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IFERROR(INDEX(Productos!$B$2:$B$321,MATCH(B312,Productos!$A$2:$A$321,0)),"")</f>
        <v/>
      </c>
      <c r="D312" s="7">
        <f>IFERROR(INDEX(Productos!$C$2:$C$321,MATCH(B312,Productos!$A$2:$A$321,0)),"")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IFERROR(INDEX(Productos!$B$2:$B$321,MATCH(B313,Productos!$A$2:$A$321,0)),"")</f>
        <v/>
      </c>
      <c r="D313" s="7">
        <f>IFERROR(INDEX(Productos!$C$2:$C$321,MATCH(B313,Productos!$A$2:$A$321,0)),"")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IFERROR(INDEX(Productos!$B$2:$B$321,MATCH(B314,Productos!$A$2:$A$321,0)),"")</f>
        <v/>
      </c>
      <c r="D314" s="7">
        <f>IFERROR(INDEX(Productos!$C$2:$C$321,MATCH(B314,Productos!$A$2:$A$321,0)),"")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IFERROR(INDEX(Productos!$B$2:$B$321,MATCH(B315,Productos!$A$2:$A$321,0)),"")</f>
        <v/>
      </c>
      <c r="D315" s="7">
        <f>IFERROR(INDEX(Productos!$C$2:$C$321,MATCH(B315,Productos!$A$2:$A$321,0)),"")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IFERROR(INDEX(Productos!$B$2:$B$321,MATCH(B316,Productos!$A$2:$A$321,0)),"")</f>
        <v/>
      </c>
      <c r="D316" s="7">
        <f>IFERROR(INDEX(Productos!$C$2:$C$321,MATCH(B316,Productos!$A$2:$A$321,0)),"")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IFERROR(INDEX(Productos!$B$2:$B$321,MATCH(B317,Productos!$A$2:$A$321,0)),"")</f>
        <v/>
      </c>
      <c r="D317" s="7">
        <f>IFERROR(INDEX(Productos!$C$2:$C$321,MATCH(B317,Productos!$A$2:$A$321,0)),"")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IFERROR(INDEX(Productos!$B$2:$B$321,MATCH(B318,Productos!$A$2:$A$321,0)),"")</f>
        <v/>
      </c>
      <c r="D318" s="7">
        <f>IFERROR(INDEX(Productos!$C$2:$C$321,MATCH(B318,Productos!$A$2:$A$321,0)),"")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IFERROR(INDEX(Productos!$B$2:$B$321,MATCH(B319,Productos!$A$2:$A$321,0)),"")</f>
        <v/>
      </c>
      <c r="D319" s="7">
        <f>IFERROR(INDEX(Productos!$C$2:$C$321,MATCH(B319,Productos!$A$2:$A$321,0)),"")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IFERROR(INDEX(Productos!$B$2:$B$321,MATCH(B320,Productos!$A$2:$A$321,0)),"")</f>
        <v/>
      </c>
      <c r="D320" s="7">
        <f>IFERROR(INDEX(Productos!$C$2:$C$321,MATCH(B320,Productos!$A$2:$A$321,0)),"")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IFERROR(INDEX(Productos!$B$2:$B$321,MATCH(B321,Productos!$A$2:$A$321,0)),"")</f>
        <v/>
      </c>
      <c r="D321" s="7">
        <f>IFERROR(INDEX(Productos!$C$2:$C$321,MATCH(B321,Productos!$A$2:$A$321,0)),"")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IFERROR(INDEX(Productos!$B$2:$B$321,MATCH(B322,Productos!$A$2:$A$321,0)),"")</f>
        <v/>
      </c>
      <c r="D322" s="7">
        <f>IFERROR(INDEX(Productos!$C$2:$C$321,MATCH(B322,Productos!$A$2:$A$321,0)),"")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IFERROR(INDEX(Productos!$B$2:$B$321,MATCH(B323,Productos!$A$2:$A$321,0)),"")</f>
        <v/>
      </c>
      <c r="D323" s="7">
        <f>IFERROR(INDEX(Productos!$C$2:$C$321,MATCH(B323,Productos!$A$2:$A$321,0)),"")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IFERROR(INDEX(Productos!$B$2:$B$321,MATCH(B324,Productos!$A$2:$A$321,0)),"")</f>
        <v/>
      </c>
      <c r="D324" s="7">
        <f>IFERROR(INDEX(Productos!$C$2:$C$321,MATCH(B324,Productos!$A$2:$A$321,0)),"")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IFERROR(INDEX(Productos!$B$2:$B$321,MATCH(B325,Productos!$A$2:$A$321,0)),"")</f>
        <v/>
      </c>
      <c r="D325" s="7">
        <f>IFERROR(INDEX(Productos!$C$2:$C$321,MATCH(B325,Productos!$A$2:$A$321,0)),"")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IFERROR(INDEX(Productos!$B$2:$B$321,MATCH(B326,Productos!$A$2:$A$321,0)),"")</f>
        <v/>
      </c>
      <c r="D326" s="7">
        <f>IFERROR(INDEX(Productos!$C$2:$C$321,MATCH(B326,Productos!$A$2:$A$321,0)),"")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IFERROR(INDEX(Productos!$B$2:$B$321,MATCH(B327,Productos!$A$2:$A$321,0)),"")</f>
        <v/>
      </c>
      <c r="D327" s="7">
        <f>IFERROR(INDEX(Productos!$C$2:$C$321,MATCH(B327,Productos!$A$2:$A$321,0)),"")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IFERROR(INDEX(Productos!$B$2:$B$321,MATCH(B328,Productos!$A$2:$A$321,0)),"")</f>
        <v/>
      </c>
      <c r="D328" s="7">
        <f>IFERROR(INDEX(Productos!$C$2:$C$321,MATCH(B328,Productos!$A$2:$A$321,0)),"")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IFERROR(INDEX(Productos!$B$2:$B$321,MATCH(B329,Productos!$A$2:$A$321,0)),"")</f>
        <v/>
      </c>
      <c r="D329" s="7">
        <f>IFERROR(INDEX(Productos!$C$2:$C$321,MATCH(B329,Productos!$A$2:$A$321,0)),"")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IFERROR(INDEX(Productos!$B$2:$B$321,MATCH(B330,Productos!$A$2:$A$321,0)),"")</f>
        <v/>
      </c>
      <c r="D330" s="7">
        <f>IFERROR(INDEX(Productos!$C$2:$C$321,MATCH(B330,Productos!$A$2:$A$321,0)),"")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IFERROR(INDEX(Productos!$B$2:$B$321,MATCH(B331,Productos!$A$2:$A$321,0)),"")</f>
        <v/>
      </c>
      <c r="D331" s="7">
        <f>IFERROR(INDEX(Productos!$C$2:$C$321,MATCH(B331,Productos!$A$2:$A$321,0)),"")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IFERROR(INDEX(Productos!$B$2:$B$321,MATCH(B332,Productos!$A$2:$A$321,0)),"")</f>
        <v/>
      </c>
      <c r="D332" s="7">
        <f>IFERROR(INDEX(Productos!$C$2:$C$321,MATCH(B332,Productos!$A$2:$A$321,0)),"")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IFERROR(INDEX(Productos!$B$2:$B$321,MATCH(B333,Productos!$A$2:$A$321,0)),"")</f>
        <v/>
      </c>
      <c r="D333" s="7">
        <f>IFERROR(INDEX(Productos!$C$2:$C$321,MATCH(B333,Productos!$A$2:$A$321,0)),"")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IFERROR(INDEX(Productos!$B$2:$B$321,MATCH(B334,Productos!$A$2:$A$321,0)),"")</f>
        <v/>
      </c>
      <c r="D334" s="7">
        <f>IFERROR(INDEX(Productos!$C$2:$C$321,MATCH(B334,Productos!$A$2:$A$321,0)),"")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IFERROR(INDEX(Productos!$B$2:$B$321,MATCH(B335,Productos!$A$2:$A$321,0)),"")</f>
        <v/>
      </c>
      <c r="D335" s="7">
        <f>IFERROR(INDEX(Productos!$C$2:$C$321,MATCH(B335,Productos!$A$2:$A$321,0)),"")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IFERROR(INDEX(Productos!$B$2:$B$321,MATCH(B336,Productos!$A$2:$A$321,0)),"")</f>
        <v/>
      </c>
      <c r="D336" s="7">
        <f>IFERROR(INDEX(Productos!$C$2:$C$321,MATCH(B336,Productos!$A$2:$A$321,0)),"")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IFERROR(INDEX(Productos!$B$2:$B$321,MATCH(B337,Productos!$A$2:$A$321,0)),"")</f>
        <v/>
      </c>
      <c r="D337" s="7">
        <f>IFERROR(INDEX(Productos!$C$2:$C$321,MATCH(B337,Productos!$A$2:$A$321,0)),"")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IFERROR(INDEX(Productos!$B$2:$B$321,MATCH(B338,Productos!$A$2:$A$321,0)),"")</f>
        <v/>
      </c>
      <c r="D338" s="7">
        <f>IFERROR(INDEX(Productos!$C$2:$C$321,MATCH(B338,Productos!$A$2:$A$321,0)),"")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IFERROR(INDEX(Productos!$B$2:$B$321,MATCH(B339,Productos!$A$2:$A$321,0)),"")</f>
        <v/>
      </c>
      <c r="D339" s="7">
        <f>IFERROR(INDEX(Productos!$C$2:$C$321,MATCH(B339,Productos!$A$2:$A$321,0)),"")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IFERROR(INDEX(Productos!$B$2:$B$321,MATCH(B340,Productos!$A$2:$A$321,0)),"")</f>
        <v/>
      </c>
      <c r="D340" s="7">
        <f>IFERROR(INDEX(Productos!$C$2:$C$321,MATCH(B340,Productos!$A$2:$A$321,0)),"")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IFERROR(INDEX(Productos!$B$2:$B$321,MATCH(B341,Productos!$A$2:$A$321,0)),"")</f>
        <v/>
      </c>
      <c r="D341" s="7">
        <f>IFERROR(INDEX(Productos!$C$2:$C$321,MATCH(B341,Productos!$A$2:$A$321,0)),"")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IFERROR(INDEX(Productos!$B$2:$B$321,MATCH(B342,Productos!$A$2:$A$321,0)),"")</f>
        <v/>
      </c>
      <c r="D342" s="7">
        <f>IFERROR(INDEX(Productos!$C$2:$C$321,MATCH(B342,Productos!$A$2:$A$321,0)),"")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IFERROR(INDEX(Productos!$B$2:$B$321,MATCH(B343,Productos!$A$2:$A$321,0)),"")</f>
        <v/>
      </c>
      <c r="D343" s="7">
        <f>IFERROR(INDEX(Productos!$C$2:$C$321,MATCH(B343,Productos!$A$2:$A$321,0)),"")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IFERROR(INDEX(Productos!$B$2:$B$321,MATCH(B344,Productos!$A$2:$A$321,0)),"")</f>
        <v/>
      </c>
      <c r="D344" s="7">
        <f>IFERROR(INDEX(Productos!$C$2:$C$321,MATCH(B344,Productos!$A$2:$A$321,0)),"")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IFERROR(INDEX(Productos!$B$2:$B$321,MATCH(B345,Productos!$A$2:$A$321,0)),"")</f>
        <v/>
      </c>
      <c r="D345" s="7">
        <f>IFERROR(INDEX(Productos!$C$2:$C$321,MATCH(B345,Productos!$A$2:$A$321,0)),"")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IFERROR(INDEX(Productos!$B$2:$B$321,MATCH(B346,Productos!$A$2:$A$321,0)),"")</f>
        <v/>
      </c>
      <c r="D346" s="7">
        <f>IFERROR(INDEX(Productos!$C$2:$C$321,MATCH(B346,Productos!$A$2:$A$321,0)),"")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IFERROR(INDEX(Productos!$B$2:$B$321,MATCH(B347,Productos!$A$2:$A$321,0)),"")</f>
        <v/>
      </c>
      <c r="D347" s="7">
        <f>IFERROR(INDEX(Productos!$C$2:$C$321,MATCH(B347,Productos!$A$2:$A$321,0)),"")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IFERROR(INDEX(Productos!$B$2:$B$321,MATCH(B348,Productos!$A$2:$A$321,0)),"")</f>
        <v/>
      </c>
      <c r="D348" s="7">
        <f>IFERROR(INDEX(Productos!$C$2:$C$321,MATCH(B348,Productos!$A$2:$A$321,0)),"")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IFERROR(INDEX(Productos!$B$2:$B$321,MATCH(B349,Productos!$A$2:$A$321,0)),"")</f>
        <v/>
      </c>
      <c r="D349" s="7">
        <f>IFERROR(INDEX(Productos!$C$2:$C$321,MATCH(B349,Productos!$A$2:$A$321,0)),"")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IFERROR(INDEX(Productos!$B$2:$B$321,MATCH(B350,Productos!$A$2:$A$321,0)),"")</f>
        <v/>
      </c>
      <c r="D350" s="7">
        <f>IFERROR(INDEX(Productos!$C$2:$C$321,MATCH(B350,Productos!$A$2:$A$321,0)),"")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IFERROR(INDEX(Productos!$B$2:$B$321,MATCH(B351,Productos!$A$2:$A$321,0)),"")</f>
        <v/>
      </c>
      <c r="D351" s="7">
        <f>IFERROR(INDEX(Productos!$C$2:$C$321,MATCH(B351,Productos!$A$2:$A$321,0)),"")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IFERROR(INDEX(Productos!$B$2:$B$321,MATCH(B352,Productos!$A$2:$A$321,0)),"")</f>
        <v/>
      </c>
      <c r="D352" s="7">
        <f>IFERROR(INDEX(Productos!$C$2:$C$321,MATCH(B352,Productos!$A$2:$A$321,0)),"")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IFERROR(INDEX(Productos!$B$2:$B$321,MATCH(B353,Productos!$A$2:$A$321,0)),"")</f>
        <v/>
      </c>
      <c r="D353" s="7">
        <f>IFERROR(INDEX(Productos!$C$2:$C$321,MATCH(B353,Productos!$A$2:$A$321,0)),"")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IFERROR(INDEX(Productos!$B$2:$B$321,MATCH(B354,Productos!$A$2:$A$321,0)),"")</f>
        <v/>
      </c>
      <c r="D354" s="7">
        <f>IFERROR(INDEX(Productos!$C$2:$C$321,MATCH(B354,Productos!$A$2:$A$321,0)),"")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IFERROR(INDEX(Productos!$B$2:$B$321,MATCH(B355,Productos!$A$2:$A$321,0)),"")</f>
        <v/>
      </c>
      <c r="D355" s="7">
        <f>IFERROR(INDEX(Productos!$C$2:$C$321,MATCH(B355,Productos!$A$2:$A$321,0)),"")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IFERROR(INDEX(Productos!$B$2:$B$321,MATCH(B356,Productos!$A$2:$A$321,0)),"")</f>
        <v/>
      </c>
      <c r="D356" s="7">
        <f>IFERROR(INDEX(Productos!$C$2:$C$321,MATCH(B356,Productos!$A$2:$A$321,0)),"")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IFERROR(INDEX(Productos!$B$2:$B$321,MATCH(B357,Productos!$A$2:$A$321,0)),"")</f>
        <v/>
      </c>
      <c r="D357" s="7">
        <f>IFERROR(INDEX(Productos!$C$2:$C$321,MATCH(B357,Productos!$A$2:$A$321,0)),"")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IFERROR(INDEX(Productos!$B$2:$B$321,MATCH(B358,Productos!$A$2:$A$321,0)),"")</f>
        <v/>
      </c>
      <c r="D358" s="7">
        <f>IFERROR(INDEX(Productos!$C$2:$C$321,MATCH(B358,Productos!$A$2:$A$321,0)),"")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IFERROR(INDEX(Productos!$B$2:$B$321,MATCH(B359,Productos!$A$2:$A$321,0)),"")</f>
        <v/>
      </c>
      <c r="D359" s="7">
        <f>IFERROR(INDEX(Productos!$C$2:$C$321,MATCH(B359,Productos!$A$2:$A$321,0)),"")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IFERROR(INDEX(Productos!$B$2:$B$321,MATCH(B360,Productos!$A$2:$A$321,0)),"")</f>
        <v/>
      </c>
      <c r="D360" s="7">
        <f>IFERROR(INDEX(Productos!$C$2:$C$321,MATCH(B360,Productos!$A$2:$A$321,0)),"")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IFERROR(INDEX(Productos!$B$2:$B$321,MATCH(B361,Productos!$A$2:$A$321,0)),"")</f>
        <v/>
      </c>
      <c r="D361" s="7">
        <f>IFERROR(INDEX(Productos!$C$2:$C$321,MATCH(B361,Productos!$A$2:$A$321,0)),"")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IFERROR(INDEX(Productos!$B$2:$B$321,MATCH(B362,Productos!$A$2:$A$321,0)),"")</f>
        <v/>
      </c>
      <c r="D362" s="7">
        <f>IFERROR(INDEX(Productos!$C$2:$C$321,MATCH(B362,Productos!$A$2:$A$321,0)),"")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IFERROR(INDEX(Productos!$B$2:$B$321,MATCH(B363,Productos!$A$2:$A$321,0)),"")</f>
        <v/>
      </c>
      <c r="D363" s="7">
        <f>IFERROR(INDEX(Productos!$C$2:$C$321,MATCH(B363,Productos!$A$2:$A$321,0)),"")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IFERROR(INDEX(Productos!$B$2:$B$321,MATCH(B364,Productos!$A$2:$A$321,0)),"")</f>
        <v/>
      </c>
      <c r="D364" s="7">
        <f>IFERROR(INDEX(Productos!$C$2:$C$321,MATCH(B364,Productos!$A$2:$A$321,0)),"")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IFERROR(INDEX(Productos!$B$2:$B$321,MATCH(B365,Productos!$A$2:$A$321,0)),"")</f>
        <v/>
      </c>
      <c r="D365" s="7">
        <f>IFERROR(INDEX(Productos!$C$2:$C$321,MATCH(B365,Productos!$A$2:$A$321,0)),"")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IFERROR(INDEX(Productos!$B$2:$B$321,MATCH(B366,Productos!$A$2:$A$321,0)),"")</f>
        <v/>
      </c>
      <c r="D366" s="7">
        <f>IFERROR(INDEX(Productos!$C$2:$C$321,MATCH(B366,Productos!$A$2:$A$321,0)),"")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IFERROR(INDEX(Productos!$B$2:$B$321,MATCH(B367,Productos!$A$2:$A$321,0)),"")</f>
        <v/>
      </c>
      <c r="D367" s="7">
        <f>IFERROR(INDEX(Productos!$C$2:$C$321,MATCH(B367,Productos!$A$2:$A$321,0)),"")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IFERROR(INDEX(Productos!$B$2:$B$321,MATCH(B368,Productos!$A$2:$A$321,0)),"")</f>
        <v/>
      </c>
      <c r="D368" s="7">
        <f>IFERROR(INDEX(Productos!$C$2:$C$321,MATCH(B368,Productos!$A$2:$A$321,0)),"")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IFERROR(INDEX(Productos!$B$2:$B$321,MATCH(B369,Productos!$A$2:$A$321,0)),"")</f>
        <v/>
      </c>
      <c r="D369" s="7">
        <f>IFERROR(INDEX(Productos!$C$2:$C$321,MATCH(B369,Productos!$A$2:$A$321,0)),"")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IFERROR(INDEX(Productos!$B$2:$B$321,MATCH(B370,Productos!$A$2:$A$321,0)),"")</f>
        <v/>
      </c>
      <c r="D370" s="7">
        <f>IFERROR(INDEX(Productos!$C$2:$C$321,MATCH(B370,Productos!$A$2:$A$321,0)),"")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IFERROR(INDEX(Productos!$B$2:$B$321,MATCH(B371,Productos!$A$2:$A$321,0)),"")</f>
        <v/>
      </c>
      <c r="D371" s="7">
        <f>IFERROR(INDEX(Productos!$C$2:$C$321,MATCH(B371,Productos!$A$2:$A$321,0)),"")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IFERROR(INDEX(Productos!$B$2:$B$321,MATCH(B372,Productos!$A$2:$A$321,0)),"")</f>
        <v/>
      </c>
      <c r="D372" s="7">
        <f>IFERROR(INDEX(Productos!$C$2:$C$321,MATCH(B372,Productos!$A$2:$A$321,0)),"")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IFERROR(INDEX(Productos!$B$2:$B$321,MATCH(B373,Productos!$A$2:$A$321,0)),"")</f>
        <v/>
      </c>
      <c r="D373" s="7">
        <f>IFERROR(INDEX(Productos!$C$2:$C$321,MATCH(B373,Productos!$A$2:$A$321,0)),"")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IFERROR(INDEX(Productos!$B$2:$B$321,MATCH(B374,Productos!$A$2:$A$321,0)),"")</f>
        <v/>
      </c>
      <c r="D374" s="7">
        <f>IFERROR(INDEX(Productos!$C$2:$C$321,MATCH(B374,Productos!$A$2:$A$321,0)),"")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IFERROR(INDEX(Productos!$B$2:$B$321,MATCH(B375,Productos!$A$2:$A$321,0)),"")</f>
        <v/>
      </c>
      <c r="D375" s="7">
        <f>IFERROR(INDEX(Productos!$C$2:$C$321,MATCH(B375,Productos!$A$2:$A$321,0)),"")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IFERROR(INDEX(Productos!$B$2:$B$321,MATCH(B376,Productos!$A$2:$A$321,0)),"")</f>
        <v/>
      </c>
      <c r="D376" s="7">
        <f>IFERROR(INDEX(Productos!$C$2:$C$321,MATCH(B376,Productos!$A$2:$A$321,0)),"")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IFERROR(INDEX(Productos!$B$2:$B$321,MATCH(B377,Productos!$A$2:$A$321,0)),"")</f>
        <v/>
      </c>
      <c r="D377" s="7">
        <f>IFERROR(INDEX(Productos!$C$2:$C$321,MATCH(B377,Productos!$A$2:$A$321,0)),"")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IFERROR(INDEX(Productos!$B$2:$B$321,MATCH(B378,Productos!$A$2:$A$321,0)),"")</f>
        <v/>
      </c>
      <c r="D378" s="7">
        <f>IFERROR(INDEX(Productos!$C$2:$C$321,MATCH(B378,Productos!$A$2:$A$321,0)),"")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IFERROR(INDEX(Productos!$B$2:$B$321,MATCH(B379,Productos!$A$2:$A$321,0)),"")</f>
        <v/>
      </c>
      <c r="D379" s="7">
        <f>IFERROR(INDEX(Productos!$C$2:$C$321,MATCH(B379,Productos!$A$2:$A$321,0)),"")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IFERROR(INDEX(Productos!$B$2:$B$321,MATCH(B380,Productos!$A$2:$A$321,0)),"")</f>
        <v/>
      </c>
      <c r="D380" s="7">
        <f>IFERROR(INDEX(Productos!$C$2:$C$321,MATCH(B380,Productos!$A$2:$A$321,0)),"")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IFERROR(INDEX(Productos!$B$2:$B$321,MATCH(B381,Productos!$A$2:$A$321,0)),"")</f>
        <v/>
      </c>
      <c r="D381" s="7">
        <f>IFERROR(INDEX(Productos!$C$2:$C$321,MATCH(B381,Productos!$A$2:$A$321,0)),"")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IFERROR(INDEX(Productos!$B$2:$B$321,MATCH(B382,Productos!$A$2:$A$321,0)),"")</f>
        <v/>
      </c>
      <c r="D382" s="7">
        <f>IFERROR(INDEX(Productos!$C$2:$C$321,MATCH(B382,Productos!$A$2:$A$321,0)),"")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IFERROR(INDEX(Productos!$B$2:$B$321,MATCH(B383,Productos!$A$2:$A$321,0)),"")</f>
        <v/>
      </c>
      <c r="D383" s="7">
        <f>IFERROR(INDEX(Productos!$C$2:$C$321,MATCH(B383,Productos!$A$2:$A$321,0)),"")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IFERROR(INDEX(Productos!$B$2:$B$321,MATCH(B384,Productos!$A$2:$A$321,0)),"")</f>
        <v/>
      </c>
      <c r="D384" s="7">
        <f>IFERROR(INDEX(Productos!$C$2:$C$321,MATCH(B384,Productos!$A$2:$A$321,0)),"")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IFERROR(INDEX(Productos!$B$2:$B$321,MATCH(B385,Productos!$A$2:$A$321,0)),"")</f>
        <v/>
      </c>
      <c r="D385" s="7">
        <f>IFERROR(INDEX(Productos!$C$2:$C$321,MATCH(B385,Productos!$A$2:$A$321,0)),"")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IFERROR(INDEX(Productos!$B$2:$B$321,MATCH(B386,Productos!$A$2:$A$321,0)),"")</f>
        <v/>
      </c>
      <c r="D386" s="7">
        <f>IFERROR(INDEX(Productos!$C$2:$C$321,MATCH(B386,Productos!$A$2:$A$321,0)),"")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IFERROR(INDEX(Productos!$B$2:$B$321,MATCH(B387,Productos!$A$2:$A$321,0)),"")</f>
        <v/>
      </c>
      <c r="D387" s="7">
        <f>IFERROR(INDEX(Productos!$C$2:$C$321,MATCH(B387,Productos!$A$2:$A$321,0)),"")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IFERROR(INDEX(Productos!$B$2:$B$321,MATCH(B388,Productos!$A$2:$A$321,0)),"")</f>
        <v/>
      </c>
      <c r="D388" s="7">
        <f>IFERROR(INDEX(Productos!$C$2:$C$321,MATCH(B388,Productos!$A$2:$A$321,0)),"")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IFERROR(INDEX(Productos!$B$2:$B$321,MATCH(B389,Productos!$A$2:$A$321,0)),"")</f>
        <v/>
      </c>
      <c r="D389" s="7">
        <f>IFERROR(INDEX(Productos!$C$2:$C$321,MATCH(B389,Productos!$A$2:$A$321,0)),"")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IFERROR(INDEX(Productos!$B$2:$B$321,MATCH(B390,Productos!$A$2:$A$321,0)),"")</f>
        <v/>
      </c>
      <c r="D390" s="7">
        <f>IFERROR(INDEX(Productos!$C$2:$C$321,MATCH(B390,Productos!$A$2:$A$321,0)),"")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IFERROR(INDEX(Productos!$B$2:$B$321,MATCH(B391,Productos!$A$2:$A$321,0)),"")</f>
        <v/>
      </c>
      <c r="D391" s="7">
        <f>IFERROR(INDEX(Productos!$C$2:$C$321,MATCH(B391,Productos!$A$2:$A$321,0)),"")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IFERROR(INDEX(Productos!$B$2:$B$321,MATCH(B392,Productos!$A$2:$A$321,0)),"")</f>
        <v/>
      </c>
      <c r="D392" s="7">
        <f>IFERROR(INDEX(Productos!$C$2:$C$321,MATCH(B392,Productos!$A$2:$A$321,0)),"")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IFERROR(INDEX(Productos!$B$2:$B$321,MATCH(B393,Productos!$A$2:$A$321,0)),"")</f>
        <v/>
      </c>
      <c r="D393" s="7">
        <f>IFERROR(INDEX(Productos!$C$2:$C$321,MATCH(B393,Productos!$A$2:$A$321,0)),"")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IFERROR(INDEX(Productos!$B$2:$B$321,MATCH(B394,Productos!$A$2:$A$321,0)),"")</f>
        <v/>
      </c>
      <c r="D394" s="7">
        <f>IFERROR(INDEX(Productos!$C$2:$C$321,MATCH(B394,Productos!$A$2:$A$321,0)),"")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IFERROR(INDEX(Productos!$B$2:$B$321,MATCH(B395,Productos!$A$2:$A$321,0)),"")</f>
        <v/>
      </c>
      <c r="D395" s="7">
        <f>IFERROR(INDEX(Productos!$C$2:$C$321,MATCH(B395,Productos!$A$2:$A$321,0)),"")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IFERROR(INDEX(Productos!$B$2:$B$321,MATCH(B396,Productos!$A$2:$A$321,0)),"")</f>
        <v/>
      </c>
      <c r="D396" s="7">
        <f>IFERROR(INDEX(Productos!$C$2:$C$321,MATCH(B396,Productos!$A$2:$A$321,0)),"")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IFERROR(INDEX(Productos!$B$2:$B$321,MATCH(B397,Productos!$A$2:$A$321,0)),"")</f>
        <v/>
      </c>
      <c r="D397" s="7">
        <f>IFERROR(INDEX(Productos!$C$2:$C$321,MATCH(B397,Productos!$A$2:$A$321,0)),"")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IFERROR(INDEX(Productos!$B$2:$B$321,MATCH(B398,Productos!$A$2:$A$321,0)),"")</f>
        <v/>
      </c>
      <c r="D398" s="7">
        <f>IFERROR(INDEX(Productos!$C$2:$C$321,MATCH(B398,Productos!$A$2:$A$321,0)),"")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IFERROR(INDEX(Productos!$B$2:$B$321,MATCH(B399,Productos!$A$2:$A$321,0)),"")</f>
        <v/>
      </c>
      <c r="D399" s="7">
        <f>IFERROR(INDEX(Productos!$C$2:$C$321,MATCH(B399,Productos!$A$2:$A$321,0)),"")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IFERROR(INDEX(Productos!$B$2:$B$321,MATCH(B400,Productos!$A$2:$A$321,0)),"")</f>
        <v/>
      </c>
      <c r="D400" s="7">
        <f>IFERROR(INDEX(Productos!$C$2:$C$321,MATCH(B400,Productos!$A$2:$A$321,0)),"")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IFERROR(INDEX(Productos!$B$2:$B$321,MATCH(B401,Productos!$A$2:$A$321,0)),"")</f>
        <v/>
      </c>
      <c r="D401" s="7">
        <f>IFERROR(INDEX(Productos!$C$2:$C$321,MATCH(B401,Productos!$A$2:$A$321,0)),"")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IFERROR(INDEX(Productos!$B$2:$B$321,MATCH(B402,Productos!$A$2:$A$321,0)),"")</f>
        <v/>
      </c>
      <c r="D402" s="7">
        <f>IFERROR(INDEX(Productos!$C$2:$C$321,MATCH(B402,Productos!$A$2:$A$321,0)),"")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4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ANNAMAET</t>
        </is>
      </c>
      <c r="E1" t="inlineStr">
        <is>
          <t>AQUEON</t>
        </is>
      </c>
      <c r="F1" t="inlineStr">
        <is>
          <t>ASCAN</t>
        </is>
      </c>
      <c r="G1" t="inlineStr">
        <is>
          <t>BIL-JAC</t>
        </is>
      </c>
      <c r="H1" t="inlineStr">
        <is>
          <t>BROWN'S</t>
        </is>
      </c>
      <c r="I1" t="inlineStr">
        <is>
          <t>CARU</t>
        </is>
      </c>
      <c r="J1" t="inlineStr">
        <is>
          <t>CAT CHOW</t>
        </is>
      </c>
      <c r="K1" t="inlineStr">
        <is>
          <t>CESAR</t>
        </is>
      </c>
      <c r="L1" t="inlineStr">
        <is>
          <t>CHICKEN SOUP</t>
        </is>
      </c>
      <c r="M1" t="inlineStr">
        <is>
          <t>DOG CHOW</t>
        </is>
      </c>
      <c r="N1" t="inlineStr">
        <is>
          <t>EMERALD</t>
        </is>
      </c>
      <c r="O1" t="inlineStr">
        <is>
          <t>ERA</t>
        </is>
      </c>
      <c r="P1" t="inlineStr">
        <is>
          <t>ESBILAC</t>
        </is>
      </c>
      <c r="Q1" t="inlineStr">
        <is>
          <t>EUKANUBA</t>
        </is>
      </c>
      <c r="R1" t="inlineStr">
        <is>
          <t>FANCY FEAST</t>
        </is>
      </c>
      <c r="S1" t="inlineStr">
        <is>
          <t>FELIX</t>
        </is>
      </c>
      <c r="T1" t="inlineStr">
        <is>
          <t>GENÉRICO (reempaque)</t>
        </is>
      </c>
      <c r="U1" t="inlineStr">
        <is>
          <t>GRANDMA MAE'S</t>
        </is>
      </c>
      <c r="V1" t="inlineStr">
        <is>
          <t>HIGGINS</t>
        </is>
      </c>
      <c r="W1" t="inlineStr">
        <is>
          <t>HILL'S</t>
        </is>
      </c>
      <c r="X1" t="inlineStr">
        <is>
          <t>KAYTEE</t>
        </is>
      </c>
      <c r="Y1" t="inlineStr">
        <is>
          <t>KORDON</t>
        </is>
      </c>
      <c r="Z1" t="inlineStr">
        <is>
          <t>MIMADOS</t>
        </is>
      </c>
      <c r="AA1" t="inlineStr">
        <is>
          <t>MIRRAPEL</t>
        </is>
      </c>
      <c r="AB1" t="inlineStr">
        <is>
          <t>NUTRECAN</t>
        </is>
      </c>
      <c r="AC1" t="inlineStr">
        <is>
          <t>NUTRI-VET</t>
        </is>
      </c>
      <c r="AD1" t="inlineStr">
        <is>
          <t>NUTRISOURCE</t>
        </is>
      </c>
      <c r="AE1" t="inlineStr">
        <is>
          <t>NYLABONE</t>
        </is>
      </c>
      <c r="AF1" t="inlineStr">
        <is>
          <t>OLA</t>
        </is>
      </c>
      <c r="AG1" t="inlineStr">
        <is>
          <t>PEDIGREE</t>
        </is>
      </c>
      <c r="AH1" t="inlineStr">
        <is>
          <t>PERKY PET</t>
        </is>
      </c>
      <c r="AI1" t="inlineStr">
        <is>
          <t>PET FACTORY</t>
        </is>
      </c>
      <c r="AJ1" t="inlineStr">
        <is>
          <t>PRESCRIPTION DIET</t>
        </is>
      </c>
      <c r="AK1" t="inlineStr">
        <is>
          <t>PRO PLAN</t>
        </is>
      </c>
      <c r="AL1" t="inlineStr">
        <is>
          <t>PURINA</t>
        </is>
      </c>
      <c r="AM1" t="inlineStr">
        <is>
          <t>RED BARN</t>
        </is>
      </c>
      <c r="AN1" t="inlineStr">
        <is>
          <t>RUSH DIRECT</t>
        </is>
      </c>
      <c r="AO1" t="inlineStr">
        <is>
          <t>SMARTBONES</t>
        </is>
      </c>
      <c r="AP1" t="inlineStr">
        <is>
          <t>SUPERKAN</t>
        </is>
      </c>
      <c r="AQ1" t="inlineStr">
        <is>
          <t>SUPRA</t>
        </is>
      </c>
      <c r="AR1" t="inlineStr">
        <is>
          <t>SYNERGY</t>
        </is>
      </c>
      <c r="AS1" t="inlineStr">
        <is>
          <t>TETRA</t>
        </is>
      </c>
      <c r="AT1" t="inlineStr">
        <is>
          <t>TRIUMPH</t>
        </is>
      </c>
      <c r="AU1" t="inlineStr">
        <is>
          <t>WHISKAS</t>
        </is>
      </c>
      <c r="AV1" t="inlineStr">
        <is>
          <t>ZOO MED</t>
        </is>
      </c>
    </row>
    <row r="2">
      <c r="A2" t="inlineStr">
        <is>
          <t>ANNAMAET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ANNAMAET ADULT 23% 5LB · 93500000171</t>
        </is>
      </c>
      <c r="E2" t="inlineStr">
        <is>
          <t>AQ GRANULADO COLOR P/ GOLDFISH 3OZ · 93500000238</t>
        </is>
      </c>
      <c r="F2" t="inlineStr">
        <is>
          <t>ASCAN ADULTO 2KG · 90409520000</t>
        </is>
      </c>
      <c r="G2" t="inlineStr">
        <is>
          <t>BILJAC ADULT 15LB · 93503080000</t>
        </is>
      </c>
      <c r="H2" t="inlineStr">
        <is>
          <t>BRW ENCORE COBAYO 5LB · 90455220000</t>
        </is>
      </c>
      <c r="I2" t="inlineStr">
        <is>
          <t>D CARU CLASS ESTOF POLLO CANGR P/GAT 5.5 · 93500000318</t>
        </is>
      </c>
      <c r="J2" t="inlineStr">
        <is>
          <t>CAT CHOW ADULTO HOGARENO 1.5KG · 93520030000</t>
        </is>
      </c>
      <c r="K2" t="inlineStr">
        <is>
          <t>CESAR CACHORRO 100GR · 90028460000</t>
        </is>
      </c>
      <c r="L2" t="inlineStr">
        <is>
          <t>CS CLASSIC MATURE POLLO RZ PQNA 4.5 · 93518630000</t>
        </is>
      </c>
      <c r="M2" t="inlineStr">
        <is>
          <t>DOG CHOW ADULT RZ PEQUENA 2KG · 90410400000</t>
        </is>
      </c>
      <c r="N2" t="inlineStr">
        <is>
          <t>EP SNACK P/GATO WHOLLY FISH TUNA 3 · 93514780000</t>
        </is>
      </c>
      <c r="O2" t="inlineStr">
        <is>
          <t>D ERA SYBARITE LATA ATUN/CERDO 400G · 93519110000</t>
        </is>
      </c>
      <c r="P2" t="inlineStr">
        <is>
          <t>ESBILAC LECHE EN POLVO 12 ONZ · 90311050000</t>
        </is>
      </c>
      <c r="Q2" t="inlineStr">
        <is>
          <t>EUK DOG LARGE ADULT  3 Kg (6.61 lbs) · 90018590000</t>
        </is>
      </c>
      <c r="R2" t="inlineStr">
        <is>
          <t>FANCY FEAST CAZUELA ATUN Y SALMON POUCH · 90038490000</t>
        </is>
      </c>
      <c r="S2" t="inlineStr">
        <is>
          <t>FELIX CARNE 85G MX · 90038460000</t>
        </is>
      </c>
      <c r="T2" t="inlineStr">
        <is>
          <t>SEM ALPISTE  1 LB · 90426180000</t>
        </is>
      </c>
      <c r="U2" t="inlineStr">
        <is>
          <t>GM GF PERRO COUNTRY NATURALS PAVO 4LB · 93500000109</t>
        </is>
      </c>
      <c r="V2" t="inlineStr">
        <is>
          <t>HIGGINS SUNBURST ALIM P CONEJOS 3LB · 93510440000</t>
        </is>
      </c>
      <c r="W2" t="inlineStr">
        <is>
          <t>SD ADULTO 1-6 BOCADOS PQNOS 4,4 LB · 93509790001</t>
        </is>
      </c>
      <c r="X2" t="inlineStr">
        <is>
          <t>D KT FDPH SNACK CANTO P/CANARIOS FINC · 93506950000</t>
        </is>
      </c>
      <c r="Y2" t="inlineStr">
        <is>
          <t>KORDON VITAMINAS P CONEJO 2 OZ · 90720780000</t>
        </is>
      </c>
      <c r="Z2" t="inlineStr">
        <is>
          <t>MIMADOS ADULTO 18KG · 90409680000</t>
        </is>
      </c>
      <c r="AA2" t="inlineStr">
        <is>
          <t>MIRRAPEL CACHORROS 236 ML · 90322670000</t>
        </is>
      </c>
      <c r="AB2" t="inlineStr">
        <is>
          <t>SOLLA NUTRECAN ADULT RZ PEQUENA 2KG · 93510820000</t>
        </is>
      </c>
      <c r="AC2" t="inlineStr">
        <is>
          <t>D NV TABLET PERR SENIOR MALESTAR/DOL · 90328760000</t>
        </is>
      </c>
      <c r="AD2" t="inlineStr">
        <is>
          <t>NS CACHORRO RZ GDE GF 4LB · 93500000458</t>
        </is>
      </c>
      <c r="AE2" t="inlineStr">
        <is>
          <t>D NYLABONE HUESO REG PAVO/MANZANA · 93508110000</t>
        </is>
      </c>
      <c r="AF2" t="inlineStr">
        <is>
          <t>OLA FINCHES/ PAJAROS EXOTICOS 800 · 90405540000</t>
        </is>
      </c>
      <c r="AG2" t="inlineStr">
        <is>
          <t>PEDIGREE ADULTO ETG 1KG · 90028420000</t>
        </is>
      </c>
      <c r="AH2" t="inlineStr">
        <is>
          <t>NECTAR PARA COLIBRI 240 · 93502370000</t>
        </is>
      </c>
      <c r="AI2" t="inlineStr">
        <is>
          <t>D PF HUESO/ CARNAZA SABOR NATUR 11-12 · 93514350000</t>
        </is>
      </c>
      <c r="AJ2" t="inlineStr">
        <is>
          <t>SD CANINE/FELINE A/D 5.5 OZ. · 90304470000</t>
        </is>
      </c>
      <c r="AK2" t="inlineStr">
        <is>
          <t>PP ADULTO SENSITIVE SKIN  3KG · 93510171000</t>
        </is>
      </c>
      <c r="AL2" t="inlineStr">
        <is>
          <t>3 PACK FELIX SURTIDO (3X156G) · 90040920000</t>
        </is>
      </c>
      <c r="AM2" t="inlineStr">
        <is>
          <t>D RB  HUESO PQNO RELLENO M MANNÂ · 93512200000</t>
        </is>
      </c>
      <c r="AN2" t="inlineStr">
        <is>
          <t>UC SNACK BARRA RELLENA DE HIGADO 1 · 93513070000</t>
        </is>
      </c>
      <c r="AO2" t="inlineStr">
        <is>
          <t>D SMARTBONE POLLO MINI 16 UD · 93515650000</t>
        </is>
      </c>
      <c r="AP2" t="inlineStr">
        <is>
          <t>ROCKY ADULTO POLLO US 2KG · 90022370000</t>
        </is>
      </c>
      <c r="AQ2" t="inlineStr">
        <is>
          <t>D SUPRA SNACK TOCINETAS P/PERRO · 93509320000</t>
        </is>
      </c>
      <c r="AR2" t="inlineStr">
        <is>
          <t>D SHED-X SUPLEMENTO NUTRI /PERROS 8 · 90329810000</t>
        </is>
      </c>
      <c r="AS2" t="inlineStr">
        <is>
          <t>D TETRA REPTOMIN 1.94 OZ · 90410040000</t>
        </is>
      </c>
      <c r="AT2" t="inlineStr">
        <is>
          <t>TRIUMPH FS GRAIN FREE SALMON 26L · 93501390000</t>
        </is>
      </c>
      <c r="AU2" t="inlineStr">
        <is>
          <t>WHISKAS CARNE ORIGINAL 1.5KG · 90408360000</t>
        </is>
      </c>
      <c r="AV2" t="inlineStr">
        <is>
          <t>D ZM ALIM GOURMET TORTUGA TERRESTR 12 · 93517610000</t>
        </is>
      </c>
    </row>
    <row r="3">
      <c r="A3" t="inlineStr">
        <is>
          <t>AQUEON</t>
        </is>
      </c>
      <c r="B3" t="inlineStr">
        <is>
          <t>MARCA_2</t>
        </is>
      </c>
      <c r="C3">
        <f>RIGHT("0"&amp;MONTH(EDATE(TODAY(),1)),2)&amp;"/"&amp;YEAR(EDATE(TODAY(),1))</f>
        <v/>
      </c>
      <c r="E3" t="inlineStr">
        <is>
          <t>AQ GRANULADO P PECES TROPICALES 3.25OZ · 93500000243</t>
        </is>
      </c>
      <c r="F3" t="inlineStr">
        <is>
          <t>ASCAN ADULTOS 4KG · 93503610000</t>
        </is>
      </c>
      <c r="G3" t="inlineStr">
        <is>
          <t>BILJAC ADULT 6LB · 93503090000</t>
        </is>
      </c>
      <c r="H3" t="inlineStr">
        <is>
          <t>BRW ENCORE CONEJO 10 LB · 90405990000</t>
        </is>
      </c>
      <c r="I3" t="inlineStr">
        <is>
          <t>D CARU CLASS ESTOF SALMON PAV P/GATO 5.5 · 93500000320</t>
        </is>
      </c>
      <c r="J3" t="inlineStr">
        <is>
          <t>CAT CHOW DEFENSE PLUS PESCADO 1.5KG · 90408400000</t>
        </is>
      </c>
      <c r="K3" t="inlineStr">
        <is>
          <t>CESAR CARNE 100GR · 90028440000</t>
        </is>
      </c>
      <c r="L3" t="inlineStr">
        <is>
          <t>CS CLASSIC POLLO P/ADULTO 4.5LB · 93511070000</t>
        </is>
      </c>
      <c r="M3" t="inlineStr">
        <is>
          <t>DOG CHOW ADULT RZ PEQUENA 4KG · 90410390000</t>
        </is>
      </c>
      <c r="N3" t="inlineStr">
        <is>
          <t>EP SNACK PUMPKIN HARVEST MANZANA 6OZ · 93500000505</t>
        </is>
      </c>
      <c r="O3" t="inlineStr">
        <is>
          <t>ERA SYBARITE LATA CACHORROS 400G · 93519090000</t>
        </is>
      </c>
      <c r="P3" t="inlineStr">
        <is>
          <t>ESBILAC PAPILLA P CACHORROS 14 OZ. · 90312680000</t>
        </is>
      </c>
      <c r="Q3" t="inlineStr">
        <is>
          <t>EUK DOG SMALL ADULT  3 Kg (6.61 lbs) · 90018550000</t>
        </is>
      </c>
      <c r="R3" t="inlineStr">
        <is>
          <t>FANCY FEAST CHUNCKY POLLO 3 OZ · 93509350000</t>
        </is>
      </c>
      <c r="S3" t="inlineStr">
        <is>
          <t>FELIX CARNE GATITOS 85G MX · 90038450000</t>
        </is>
      </c>
      <c r="T3" t="inlineStr">
        <is>
          <t>SEMILLA DE GIRASOL 2 LB · 90402150000</t>
        </is>
      </c>
      <c r="U3" t="inlineStr">
        <is>
          <t>GM GF PERRO COUNTRY NATURALS PESCADO 4LB · 93500000126</t>
        </is>
      </c>
      <c r="X3" t="inlineStr">
        <is>
          <t>KT ALIM. EXACT P PICHONES 18OZ. · 90404930000</t>
        </is>
      </c>
      <c r="Z3" t="inlineStr">
        <is>
          <t>MIMADOS ADULTO 2KG · 90400360000</t>
        </is>
      </c>
      <c r="AA3" t="inlineStr">
        <is>
          <t>MIRRAPEL OLEOSO 120 ML · 90322650000</t>
        </is>
      </c>
      <c r="AB3" t="inlineStr">
        <is>
          <t>SOLLA NUTRECAN ADULT RZ PEQUENA 800 · 93510810000</t>
        </is>
      </c>
      <c r="AC3" t="inlineStr">
        <is>
          <t>D NV VITAMINA P/ TRACTO DIGESTIVO 60U · 90328340000</t>
        </is>
      </c>
      <c r="AD3" t="inlineStr">
        <is>
          <t>NS CACHORRO RZ GDE POLLO Y ARROZ 4LB · 93500000429</t>
        </is>
      </c>
      <c r="AE3" t="inlineStr">
        <is>
          <t>NYLABONE HUESO MD SABOR BISONTE · 93507930000</t>
        </is>
      </c>
      <c r="AF3" t="inlineStr">
        <is>
          <t>OLA HAMSTERS 800GRS · 90405600000</t>
        </is>
      </c>
      <c r="AG3" t="inlineStr">
        <is>
          <t>PEDIGREE CACHORRO 4KG · 90320010000</t>
        </is>
      </c>
      <c r="AI3" t="inlineStr">
        <is>
          <t>D PF HUESO/CARNAZA SABOR M.MANI 4IN-5 · 93514310000</t>
        </is>
      </c>
      <c r="AJ3" t="inlineStr">
        <is>
          <t>SD LATA CANINE I/D/12/ 13 OZ. · 90406520000</t>
        </is>
      </c>
      <c r="AK3" t="inlineStr">
        <is>
          <t>PP CACHORRO RZ GRANDE 3.5KG · 93501121000</t>
        </is>
      </c>
      <c r="AL3" t="inlineStr">
        <is>
          <t>4 PACK FELIX SURTIDO (4X85G) · 90040930000</t>
        </is>
      </c>
      <c r="AM3" t="inlineStr">
        <is>
          <t>D RB HUESO PQNO RELLENO DE POLLO · 93512180000</t>
        </is>
      </c>
      <c r="AN3" t="inlineStr">
        <is>
          <t>UC SNACK BARRA RELLENA DE POLLO 1UD · 93513080000</t>
        </is>
      </c>
      <c r="AP3" t="inlineStr">
        <is>
          <t>ROCKY ADULTOS 1KG · 93500000342</t>
        </is>
      </c>
      <c r="AQ3" t="inlineStr">
        <is>
          <t>SUPRA ADULTO 1.5KG · 93508860000</t>
        </is>
      </c>
      <c r="AS3" t="inlineStr">
        <is>
          <t>D TETRA REPTOMIN 10.59OZ · 90409640000</t>
        </is>
      </c>
      <c r="AU3" t="inlineStr">
        <is>
          <t>WHISKAS CARNE ORIGINAL 3KG · 90028490000</t>
        </is>
      </c>
      <c r="AV3" t="inlineStr">
        <is>
          <t>D ZM CALCIO PARA AVES 3OZ · 93514810000</t>
        </is>
      </c>
    </row>
    <row r="4">
      <c r="A4" t="inlineStr">
        <is>
          <t>ASCAN</t>
        </is>
      </c>
      <c r="B4" t="inlineStr">
        <is>
          <t>MARCA_3</t>
        </is>
      </c>
      <c r="C4">
        <f>RIGHT("0"&amp;MONTH(EDATE(TODAY(),2)),2)&amp;"/"&amp;YEAR(EDATE(TODAY(),2))</f>
        <v/>
      </c>
      <c r="E4" t="inlineStr">
        <is>
          <t>AQ GRANULADO P PECES TROPICALES 6.5OZ · 93500000242</t>
        </is>
      </c>
      <c r="F4" t="inlineStr">
        <is>
          <t>ASCAN CACHORRO 2KG · 90409500000</t>
        </is>
      </c>
      <c r="G4" t="inlineStr">
        <is>
          <t>BILJAC ADULTO 30LB · 93503070000</t>
        </is>
      </c>
      <c r="H4" t="inlineStr">
        <is>
          <t>BRW ENCORE CONEJO 2LB · 90739690000</t>
        </is>
      </c>
      <c r="I4" t="inlineStr">
        <is>
          <t>D CARU SNACK SABOR CARNE P/PERRO 4OZ · 93500000303</t>
        </is>
      </c>
      <c r="J4" t="inlineStr">
        <is>
          <t>CAT CHOW DEFENSE PLUS PESCADO 9KG · 90408490000</t>
        </is>
      </c>
      <c r="K4" t="inlineStr">
        <is>
          <t>CESAR CORDERO 100GR · 90028480000</t>
        </is>
      </c>
      <c r="L4" t="inlineStr">
        <is>
          <t>CS CLASSIC POLLO P/CACHORRO 4.5LB · 93511100000</t>
        </is>
      </c>
      <c r="M4" t="inlineStr">
        <is>
          <t>DOG CHOW ADULTO 2KG · 93512370000</t>
        </is>
      </c>
      <c r="O4" t="inlineStr">
        <is>
          <t>ERA SYBARITE LATAPOLLO/PESCADO 400G · 93519100000</t>
        </is>
      </c>
      <c r="P4" t="inlineStr">
        <is>
          <t>PA LECHE DE CABRA EN POLVO 150GM · 93519340000</t>
        </is>
      </c>
      <c r="Q4" t="inlineStr">
        <is>
          <t>EUK DOG SMALL PUPPY 3 Kg (6.61 lbs) · 90018470000</t>
        </is>
      </c>
      <c r="R4" t="inlineStr">
        <is>
          <t>FANCY FEAST PESCADO BLANCO Y TUNA 3OZ US · 90038500000</t>
        </is>
      </c>
      <c r="S4" t="inlineStr">
        <is>
          <t>FELIX DELICIAS DE LA GRANJA ADULTO 1KG M · 90038530000</t>
        </is>
      </c>
      <c r="T4" t="inlineStr">
        <is>
          <t>SEMILLAS DE GIRASOL JUMBO 454GR · 90426190000</t>
        </is>
      </c>
      <c r="X4" t="inlineStr">
        <is>
          <t>KT ALIM. FIESTA MAX CONEJO 3.5LB · 90402840000</t>
        </is>
      </c>
      <c r="Z4" t="inlineStr">
        <is>
          <t>MIMADOS ADULTOS 4KG · 93513340000</t>
        </is>
      </c>
      <c r="AA4" t="inlineStr">
        <is>
          <t>MIRRAPEL PET POLVO 300 g · 90301720000</t>
        </is>
      </c>
      <c r="AB4" t="inlineStr">
        <is>
          <t>SOLLA NUTRECAN ADULTO RM Y RG 800GR · 93505910000</t>
        </is>
      </c>
      <c r="AC4" t="inlineStr">
        <is>
          <t>D NV VITAMINAS LEVADURA/AJO 100UD · 90327410000</t>
        </is>
      </c>
      <c r="AD4" t="inlineStr">
        <is>
          <t>NS CACHORRO RZ PQNA Y MED GF 4LB · 93500000461</t>
        </is>
      </c>
      <c r="AE4" t="inlineStr">
        <is>
          <t>NYLABONE HUESO PETITE CARNE ASADA · 93508280000</t>
        </is>
      </c>
      <c r="AG4" t="inlineStr">
        <is>
          <t>PEDIGREE CACHORRO NUTRIDEFENSE 1KG · 90028410000</t>
        </is>
      </c>
      <c r="AI4" t="inlineStr">
        <is>
          <t>PF CARE CHEWZ TRENZA/COLAGENO POLLO · 93517810000</t>
        </is>
      </c>
      <c r="AK4" t="inlineStr">
        <is>
          <t>PP GATO ADULTO SALMON 85G · 90403691000</t>
        </is>
      </c>
      <c r="AL4" t="inlineStr">
        <is>
          <t>CATCHOW GATITO DEFENSE PLUS 1.5KG · 93520020000</t>
        </is>
      </c>
      <c r="AP4" t="inlineStr">
        <is>
          <t>ROCKY ADULTOS 500G · 93500000341</t>
        </is>
      </c>
      <c r="AQ4" t="inlineStr">
        <is>
          <t>SUPRA ADULTO 18KG · 93508890000</t>
        </is>
      </c>
      <c r="AS4" t="inlineStr">
        <is>
          <t>D TETRAMIN HOJUELAS 28 GRAMOS · 93500740000</t>
        </is>
      </c>
      <c r="AU4" t="inlineStr">
        <is>
          <t>WHISKAS GATITOS 1.4KG · 93515190000</t>
        </is>
      </c>
      <c r="AV4" t="inlineStr">
        <is>
          <t>ZM ALIM NATURAL TORTUGA ACUATICA 7 · 93517560000</t>
        </is>
      </c>
    </row>
    <row r="5">
      <c r="A5" t="inlineStr">
        <is>
          <t>BIL-JAC</t>
        </is>
      </c>
      <c r="B5" t="inlineStr">
        <is>
          <t>MARCA_4</t>
        </is>
      </c>
      <c r="C5">
        <f>RIGHT("0"&amp;MONTH(EDATE(TODAY(),3)),2)&amp;"/"&amp;YEAR(EDATE(TODAY(),3))</f>
        <v/>
      </c>
      <c r="E5" t="inlineStr">
        <is>
          <t>AQ HOJUELAS P PECES TROPICALES 0.45OZ · 93500000240</t>
        </is>
      </c>
      <c r="F5" t="inlineStr">
        <is>
          <t>ASCAN CACHORROS 1KG · 93513380000</t>
        </is>
      </c>
      <c r="G5" t="inlineStr">
        <is>
          <t>BILJAC ADULTO RAZA GRANDE 15LB · 93503200000</t>
        </is>
      </c>
      <c r="H5" t="inlineStr">
        <is>
          <t>BRW ENCORE GOURMET COBAYO  4LB · 90413040000</t>
        </is>
      </c>
      <c r="K5" t="inlineStr">
        <is>
          <t>CESAR PAVO 100GR · 90028470000</t>
        </is>
      </c>
      <c r="L5" t="inlineStr">
        <is>
          <t>CS GATO INTERIOR/ ATUN 4.5LB · 93518640000</t>
        </is>
      </c>
      <c r="M5" t="inlineStr">
        <is>
          <t>DOG CHOW ADULTO 4KG · 93512380000</t>
        </is>
      </c>
      <c r="P5" t="inlineStr">
        <is>
          <t>PA VITAM/MINERALES GEL P/GATO · 90330330000</t>
        </is>
      </c>
      <c r="R5" t="inlineStr">
        <is>
          <t>FANCY FEAST TRUCHA 3 OZ · 93509370000</t>
        </is>
      </c>
      <c r="S5" t="inlineStr">
        <is>
          <t>FELIX DELICIAS DEL MAR ADULTO 1KG MX · 90038540000</t>
        </is>
      </c>
      <c r="T5" t="inlineStr">
        <is>
          <t>SEMILLAS DE GIRASOL JUMBO 5 LB · 90426200000</t>
        </is>
      </c>
      <c r="X5" t="inlineStr">
        <is>
          <t>KT ALIM. FORTI DIET CONEJO 10 LB · 90407390000</t>
        </is>
      </c>
      <c r="Z5" t="inlineStr">
        <is>
          <t>MIMADOS CACHORRO  2KG · 90400340000</t>
        </is>
      </c>
      <c r="AB5" t="inlineStr">
        <is>
          <t>SOLLA NUTRECAN ADULTOS RM Y RG 16KG · 93505950000</t>
        </is>
      </c>
      <c r="AC5" t="inlineStr">
        <is>
          <t>NV SENIOR PAST/ARTICULACIONES 120UD · 90328780000</t>
        </is>
      </c>
      <c r="AD5" t="inlineStr">
        <is>
          <t>NS CHOICE CACHORR POLLO CEBADA 5LB · 90034090000</t>
        </is>
      </c>
      <c r="AE5" t="inlineStr">
        <is>
          <t>NYLABONE HUESO REGULAR SABOR TOCINO · 93508200000</t>
        </is>
      </c>
      <c r="AG5" t="inlineStr">
        <is>
          <t>PEDIGREE LATA  CHOICE CUTS BEEF 375 · 90413790000</t>
        </is>
      </c>
      <c r="AI5" t="inlineStr">
        <is>
          <t>PF HUESO/ CARNAZA SABOR NATU 15-17 · 93514370000</t>
        </is>
      </c>
      <c r="AK5" t="inlineStr">
        <is>
          <t>PP GATO CTRL URINARIO 85G · 90401421000</t>
        </is>
      </c>
      <c r="AL5" t="inlineStr">
        <is>
          <t>PRO PLAN ADULTO RAZA PEQUEÑA 4x3.5kgMX · 90026960000</t>
        </is>
      </c>
      <c r="AP5" t="inlineStr">
        <is>
          <t>SK ALIM LATA POLLO/VEGETALES 400GR · 93511670000</t>
        </is>
      </c>
      <c r="AQ5" t="inlineStr">
        <is>
          <t>SUPRA CACHORRO 1.5KG · 93508910000</t>
        </is>
      </c>
      <c r="AS5" t="inlineStr">
        <is>
          <t>TETRA GEL FIN DE SEMANA 2 UD 24G · 90407210000</t>
        </is>
      </c>
      <c r="AU5" t="inlineStr">
        <is>
          <t>WHISKAS PESCADO 1.5KG · 90301130000</t>
        </is>
      </c>
      <c r="AV5" t="inlineStr">
        <is>
          <t>ZM ALIM TORTUGAS REPTISTICKS 141GR · 90415930000</t>
        </is>
      </c>
    </row>
    <row r="6">
      <c r="A6" t="inlineStr">
        <is>
          <t>BROWN'S</t>
        </is>
      </c>
      <c r="B6" t="inlineStr">
        <is>
          <t>MARCA_5</t>
        </is>
      </c>
      <c r="E6" t="inlineStr">
        <is>
          <t>AQ HOJUELAS P PECES TROPICALES 1.02OZ · 93500000241</t>
        </is>
      </c>
      <c r="F6" t="inlineStr">
        <is>
          <t>ASCAN CACHORROS 4KG · 93503530000</t>
        </is>
      </c>
      <c r="G6" t="inlineStr">
        <is>
          <t>BILJAC ADULTO RAZA PEQUENA 6LB · 93503250000</t>
        </is>
      </c>
      <c r="H6" t="inlineStr">
        <is>
          <t>BRW ENCORE LORO 4 LB · 90403890000</t>
        </is>
      </c>
      <c r="K6" t="inlineStr">
        <is>
          <t>CESAR POLLO PARRILLA 100GR · 90028450000</t>
        </is>
      </c>
      <c r="L6" t="inlineStr">
        <is>
          <t>CS GATO SALMON Y ARROZ 4.5LB · 93500000254</t>
        </is>
      </c>
      <c r="M6" t="inlineStr">
        <is>
          <t>DOG CHOW ADULTO ALTO EN PROTEINA 3.75KG · 90038350000</t>
        </is>
      </c>
      <c r="P6" t="inlineStr">
        <is>
          <t>PA VITAMINA EN GEL CALORIAS P/PERRO · 90330290000</t>
        </is>
      </c>
      <c r="S6" t="inlineStr">
        <is>
          <t>FELIX GATITOS 500G MX · 90038510000</t>
        </is>
      </c>
      <c r="T6" t="inlineStr">
        <is>
          <t>SEMILLAS DE MIJO VARIADAS 1LB · 93500750000</t>
        </is>
      </c>
      <c r="X6" t="inlineStr">
        <is>
          <t>KT ALIM. FORTI DIET CONEJO 5 LB · 90405030000</t>
        </is>
      </c>
      <c r="Z6" t="inlineStr">
        <is>
          <t>MIMADOS CACHORROS 4KG · 93513280000</t>
        </is>
      </c>
      <c r="AB6" t="inlineStr">
        <is>
          <t>SOLLA NUTRECAN ADULTOS RM Y RG 25KG · 93505960000</t>
        </is>
      </c>
      <c r="AC6" t="inlineStr">
        <is>
          <t>NV TRANQUILIZANTE MAST P/PERRO 70 · 90328740000</t>
        </is>
      </c>
      <c r="AD6" t="inlineStr">
        <is>
          <t>NS CHOICE CACHORR POLLO CEBADA 5OZ MUEST · 90034110000</t>
        </is>
      </c>
      <c r="AE6" t="inlineStr">
        <is>
          <t>NYLABONE HUESO TRIPLE P/CACHORRO · 93508370000</t>
        </is>
      </c>
      <c r="AG6" t="inlineStr">
        <is>
          <t>PEDIGREE LATA CACHORRO 375GR · 90408540000</t>
        </is>
      </c>
      <c r="AI6" t="inlineStr">
        <is>
          <t>PF HUESO/ CARNAZA SABOR NATURA 9-10 · 93514340000</t>
        </is>
      </c>
      <c r="AK6" t="inlineStr">
        <is>
          <t>PP GATO LATA SOPORTE URINARIO 5.5OZ · 93519420000</t>
        </is>
      </c>
      <c r="AL6" t="inlineStr">
        <is>
          <t>PRO PLAN CACHORRO RAZA PEQUEÑA 4x3.5kgMX · 90026950000</t>
        </is>
      </c>
      <c r="AQ6" t="inlineStr">
        <is>
          <t>SUPRA CACHORRO 4KG · 93508920000</t>
        </is>
      </c>
      <c r="AS6" t="inlineStr">
        <is>
          <t>TETRA HOJUELA GOLDFISH 2.2OZ · 90409670000</t>
        </is>
      </c>
      <c r="AU6" t="inlineStr">
        <is>
          <t>WHISKAS POUCH ATUN  85GR · 90409060000</t>
        </is>
      </c>
      <c r="AV6" t="inlineStr">
        <is>
          <t>ZM ALIM TORTUGAS REPTISTICKS 28GR · 90415880000</t>
        </is>
      </c>
    </row>
    <row r="7">
      <c r="A7" t="inlineStr">
        <is>
          <t>CARU</t>
        </is>
      </c>
      <c r="B7" t="inlineStr">
        <is>
          <t>MARCA_6</t>
        </is>
      </c>
      <c r="E7" t="inlineStr">
        <is>
          <t>AQ HOJUELAS P PECES TROPICALES 2.29OZ · 93500000239</t>
        </is>
      </c>
      <c r="G7" t="inlineStr">
        <is>
          <t>BILJAC CACHORRO RAZA PEQUENA 6LB · 93503260000</t>
        </is>
      </c>
      <c r="H7" t="inlineStr">
        <is>
          <t>BRW ENCORE PERICO 2LB · 90739660000</t>
        </is>
      </c>
      <c r="L7" t="inlineStr">
        <is>
          <t>CS GRAIN FREE SALMON P/PERRO 4 LB · 93514460000</t>
        </is>
      </c>
      <c r="M7" t="inlineStr">
        <is>
          <t>DOG CHOW ADULTO CORDERO 3.75KG MX · 90038370000</t>
        </is>
      </c>
      <c r="P7" t="inlineStr">
        <is>
          <t>PETLAC LECHE EN POLVO P/PERROS 10.5 · 93519360000</t>
        </is>
      </c>
      <c r="S7" t="inlineStr">
        <is>
          <t>FELIX MEGAMIX ADULTO 1KG MX · 90038520000</t>
        </is>
      </c>
      <c r="X7" t="inlineStr">
        <is>
          <t>KT ALIM. SUPREME CONEJO 10LB · 90407440000</t>
        </is>
      </c>
      <c r="AB7" t="inlineStr">
        <is>
          <t>SOLLA NUTRECAN ADULTOS RM Y RG 2KG · 93505920000</t>
        </is>
      </c>
      <c r="AC7" t="inlineStr">
        <is>
          <t>NV VITAMINA MAST PERRO SENIOR 60U · 90328860000</t>
        </is>
      </c>
      <c r="AD7" t="inlineStr">
        <is>
          <t>NS CHOICE CARNE Y CEBADA 5LB · 90033960000</t>
        </is>
      </c>
      <c r="AE7" t="inlineStr">
        <is>
          <t>NYLABONE HUESO WOLF SABOR POLLO · 93508250000</t>
        </is>
      </c>
      <c r="AG7" t="inlineStr">
        <is>
          <t>PEDIGREE LATA CHOPPED BEEF 375GR · 90408530000</t>
        </is>
      </c>
      <c r="AI7" t="inlineStr">
        <is>
          <t>PF HUESO/ CARNAZA SABOR POLLO 6-7IN · 93514220000</t>
        </is>
      </c>
      <c r="AK7" t="inlineStr">
        <is>
          <t>PP GATO NF ADVANCE RINONES 3.15LB · 93519430000</t>
        </is>
      </c>
      <c r="AL7" t="inlineStr">
        <is>
          <t>PURINA FELIX ATUN EN SALSA 85G · 93516230000</t>
        </is>
      </c>
      <c r="AS7" t="inlineStr">
        <is>
          <t>TETRA HOJUELAS GOLDFISH .42OZ · 90409900000</t>
        </is>
      </c>
      <c r="AU7" t="inlineStr">
        <is>
          <t>WHISKAS POUCH PARRIMIXTA 85GR. · 90028520000</t>
        </is>
      </c>
      <c r="AV7" t="inlineStr">
        <is>
          <t>ZM CALCIO PQNO CON VEGETALES P/AVES · 93503060000</t>
        </is>
      </c>
    </row>
    <row r="8">
      <c r="A8" t="inlineStr">
        <is>
          <t>CAT CHOW</t>
        </is>
      </c>
      <c r="B8" t="inlineStr">
        <is>
          <t>MARCA_7</t>
        </is>
      </c>
      <c r="E8" t="inlineStr">
        <is>
          <t>AQ HOJUELAS P/ GOLDFISH 1.02OZ · 93500000247</t>
        </is>
      </c>
      <c r="G8" t="inlineStr">
        <is>
          <t>BILJAC CACHORROS 6LB · 93503120000</t>
        </is>
      </c>
      <c r="H8" t="inlineStr">
        <is>
          <t>BRW ENCORE PREMIUM CONEJO 5 LB · 90403940000</t>
        </is>
      </c>
      <c r="L8" t="inlineStr">
        <is>
          <t>CS SNACK CRUNCHY M MANI /PERRO 12OZ · 93514390000</t>
        </is>
      </c>
      <c r="M8" t="inlineStr">
        <is>
          <t>DOG CHOW CACHORRO RAZA MD/GR 4KG · 93512540000</t>
        </is>
      </c>
      <c r="S8" t="inlineStr">
        <is>
          <t>FELIX MEGAMIX ADULTO 500G MX · 90038550000</t>
        </is>
      </c>
      <c r="X8" t="inlineStr">
        <is>
          <t>KT ALIM. SUPREME CONEJO 5 LB · 90405210000</t>
        </is>
      </c>
      <c r="AB8" t="inlineStr">
        <is>
          <t>SOLLA NUTRECAN ADULTOS RM Y RG 4KG · 93505930000</t>
        </is>
      </c>
      <c r="AC8" t="inlineStr">
        <is>
          <t>NV VITAMINAS MAST P/PERROS 60 · 90327290000</t>
        </is>
      </c>
      <c r="AD8" t="inlineStr">
        <is>
          <t>NS CHOICE CARNE Y CEBADA 5OZ MUESTRA · 90033980000</t>
        </is>
      </c>
      <c r="AG8" t="inlineStr">
        <is>
          <t>PEDIGREE LATA CHOPPED CHICKEN 375GR · 90408560000</t>
        </is>
      </c>
      <c r="AK8" t="inlineStr">
        <is>
          <t>PP GATO NF LATA ADVANCE RINONES 5.5 · 93519440000</t>
        </is>
      </c>
      <c r="AL8" t="inlineStr">
        <is>
          <t>PURINA FELIX PAVO EN SALSA 85G · 93516200000</t>
        </is>
      </c>
      <c r="AS8" t="inlineStr">
        <is>
          <t>TETRA HOJUELAS GOLDFISH 3.53OZ · 90409910000</t>
        </is>
      </c>
      <c r="AU8" t="inlineStr">
        <is>
          <t>WHISKAS POUCH POLLO Y PAVO 85GR. · 90028550000</t>
        </is>
      </c>
      <c r="AV8" t="inlineStr">
        <is>
          <t>ZM MICRO PELLET P/BETTA 0.12OZ · 93514830000</t>
        </is>
      </c>
    </row>
    <row r="9">
      <c r="A9" t="inlineStr">
        <is>
          <t>CESAR</t>
        </is>
      </c>
      <c r="B9" t="inlineStr">
        <is>
          <t>MARCA_8</t>
        </is>
      </c>
      <c r="G9" t="inlineStr">
        <is>
          <t>BILJAC PICKY NO MORE RAZA PEQUENA 6 · 93516580000</t>
        </is>
      </c>
      <c r="H9" t="inlineStr">
        <is>
          <t>BRW LOROS ENCORE CLASSIC 4LB · 90413050000</t>
        </is>
      </c>
      <c r="L9" t="inlineStr">
        <is>
          <t>CS SNACK CRUNCHY POLLO P/PERRO 12OZ · 93511270000</t>
        </is>
      </c>
      <c r="M9" t="inlineStr">
        <is>
          <t>DOG CHOW CACHORRO RAZA MD/GRD 2KG · 93512530000</t>
        </is>
      </c>
      <c r="S9" t="inlineStr">
        <is>
          <t>FELIX PATE PAVO Y MENUDENCIAS 156G · 93502660000</t>
        </is>
      </c>
      <c r="X9" t="inlineStr">
        <is>
          <t>KT ALIMENTO PARA KOI 3LB · 93500000266</t>
        </is>
      </c>
      <c r="AB9" t="inlineStr">
        <is>
          <t>SOLLA NUTRECAN ADULTOS RM Y RG 8KG · 93505940000</t>
        </is>
      </c>
      <c r="AD9" t="inlineStr">
        <is>
          <t>NS CHOICE PAVO Y CEBADA 5LB · 90034130000</t>
        </is>
      </c>
      <c r="AG9" t="inlineStr">
        <is>
          <t>PEDIGREE POUCH POLLO ADULTO 100GR · 93509400000</t>
        </is>
      </c>
      <c r="AK9" t="inlineStr">
        <is>
          <t>PP GATO SOPORTE URINARIO 6LB · 93519410000</t>
        </is>
      </c>
      <c r="AL9" t="inlineStr">
        <is>
          <t>PURINA FELIX PESCADO EN SALSA 85G · 93516210000</t>
        </is>
      </c>
      <c r="AS9" t="inlineStr">
        <is>
          <t>TETRA POND STICKS 2.53 LB · 90402260000</t>
        </is>
      </c>
      <c r="AU9" t="inlineStr">
        <is>
          <t>WHISKAS POUCH RES  85GR · 90409070000</t>
        </is>
      </c>
      <c r="AV9" t="inlineStr">
        <is>
          <t>ZM MICRO PELLETS P/BETTAS 0.65OZ · 93514840000</t>
        </is>
      </c>
    </row>
    <row r="10">
      <c r="A10" t="inlineStr">
        <is>
          <t>CHICKEN SOUP</t>
        </is>
      </c>
      <c r="B10" t="inlineStr">
        <is>
          <t>MARCA_9</t>
        </is>
      </c>
      <c r="G10" t="inlineStr">
        <is>
          <t>BILJAC REDUCCION DE PESO 6LB · 93503180000</t>
        </is>
      </c>
      <c r="H10" t="inlineStr">
        <is>
          <t>BRW LOROS ENCORE GOURMET 4LB · 90413110000</t>
        </is>
      </c>
      <c r="L10" t="inlineStr">
        <is>
          <t>CS SNACK CRUNCHY TOCINO /PERRO 12OZ · 93514380000</t>
        </is>
      </c>
      <c r="M10" t="inlineStr">
        <is>
          <t>DOG CHOW CACHORRO RAZA PEQUENA 2KG · 93512550000</t>
        </is>
      </c>
      <c r="S10" t="inlineStr">
        <is>
          <t>FELIX PATE PESCADO Y ATUN 156G · 93502640000</t>
        </is>
      </c>
      <c r="X10" t="inlineStr">
        <is>
          <t>KT BARRA DE SEMILLA P PERICO 7 OZ · 90406800000</t>
        </is>
      </c>
      <c r="AB10" t="inlineStr">
        <is>
          <t>SOLLA NUTRECAN BABIES 0.8 KG · 90410720000</t>
        </is>
      </c>
      <c r="AD10" t="inlineStr">
        <is>
          <t>NS CHOICE PESCADO Y ARROZ 40LB · 90034150000</t>
        </is>
      </c>
      <c r="AG10" t="inlineStr">
        <is>
          <t>PEDIGREE POUCH POLLO CACHORRO 100GR · 93509410000</t>
        </is>
      </c>
      <c r="AK10" t="inlineStr">
        <is>
          <t>PP GATOS LATA VET EN GASTRO 5.5OZ · 93519460000</t>
        </is>
      </c>
      <c r="AL10" t="inlineStr">
        <is>
          <t>PURINA FELIX SALMON EN SALSA 85G · 93516220000</t>
        </is>
      </c>
      <c r="AS10" t="inlineStr">
        <is>
          <t>TETRAFIN HOJUELAS GOLDFISH 1 OZ · 90410990000</t>
        </is>
      </c>
    </row>
    <row r="11">
      <c r="A11" t="inlineStr">
        <is>
          <t>DOG CHOW</t>
        </is>
      </c>
      <c r="B11" t="inlineStr">
        <is>
          <t>MARCA_10</t>
        </is>
      </c>
      <c r="G11" t="inlineStr">
        <is>
          <t>BILJAC SENIOR 6LB · 93503150000</t>
        </is>
      </c>
      <c r="H11" t="inlineStr">
        <is>
          <t>BRW TROPICAL CARNIVAL CONEJO 5 LB · 90403780000</t>
        </is>
      </c>
      <c r="L11" t="inlineStr">
        <is>
          <t>CS SNACK SAVORY CARNE P/PERRO 6OZ · 93514410000</t>
        </is>
      </c>
      <c r="M11" t="inlineStr">
        <is>
          <t>DOG CHOW CACHORROS POLLO POUCH 100G MX · 90038330000</t>
        </is>
      </c>
      <c r="S11" t="inlineStr">
        <is>
          <t>FELIX PATE SALMON 156G · 93502650000</t>
        </is>
      </c>
      <c r="X11" t="inlineStr">
        <is>
          <t>KT FORTI DIET HAMSTER/GERBIL 3LB · 90404990000</t>
        </is>
      </c>
      <c r="AB11" t="inlineStr">
        <is>
          <t>SOLLA NUTRECAN BABIES 2 KG · 90410730000</t>
        </is>
      </c>
      <c r="AD11" t="inlineStr">
        <is>
          <t>NS CHOICE PESCADO Y ARROZ 5LB · 90034160000</t>
        </is>
      </c>
      <c r="AG11" t="inlineStr">
        <is>
          <t>PEDIGREE POUCH RES CACHORRO 100GR · 93509390000</t>
        </is>
      </c>
      <c r="AK11" t="inlineStr">
        <is>
          <t>PP KITTEN 85G · 90401190000</t>
        </is>
      </c>
      <c r="AL11" t="inlineStr">
        <is>
          <t>SNACK BEGGIN STRIPS BACON 85G · 90401200000</t>
        </is>
      </c>
      <c r="AS11" t="inlineStr">
        <is>
          <t>TETRAFIN HOJUELAS GOLDFISH 7.06 OZ · 90410490000</t>
        </is>
      </c>
    </row>
    <row r="12">
      <c r="A12" t="inlineStr">
        <is>
          <t>EMERALD</t>
        </is>
      </c>
      <c r="B12" t="inlineStr">
        <is>
          <t>MARCA_11</t>
        </is>
      </c>
      <c r="G12" t="inlineStr">
        <is>
          <t>BILJAC SENIOR RAZA PEQUENA 6LB · 93516570000</t>
        </is>
      </c>
      <c r="H12" t="inlineStr">
        <is>
          <t>BRW TROPICAL CARNIVAL PERICO 2LB · 90401320000</t>
        </is>
      </c>
      <c r="L12" t="inlineStr">
        <is>
          <t>CS SNACK SAVORY POLLO P/PERRO 6OZ · 93514420000</t>
        </is>
      </c>
      <c r="M12" t="inlineStr">
        <is>
          <t>DOG CHOW CACHORROS RAZAS PEQUENAS 4KG MX · 90038340000</t>
        </is>
      </c>
      <c r="S12" t="inlineStr">
        <is>
          <t>FELIX POLLO 85G MX · 90038440000</t>
        </is>
      </c>
      <c r="X12" t="inlineStr">
        <is>
          <t>KT FORTI DIET LORO 5 LB · 90407230000</t>
        </is>
      </c>
      <c r="AB12" t="inlineStr">
        <is>
          <t>SOLLA NUTRECAN BABIES 8 KG · 90410970000</t>
        </is>
      </c>
      <c r="AD12" t="inlineStr">
        <is>
          <t>NS CHOICE POLLO Y CEBADA 5LB · 90033990000</t>
        </is>
      </c>
      <c r="AG12" t="inlineStr">
        <is>
          <t>PEDIGREE RAZA PEQ POUCH RES 100GR · 93512290000</t>
        </is>
      </c>
      <c r="AK12" t="inlineStr">
        <is>
          <t>PP PERROS EN GASTRO 6LB · 93519540000</t>
        </is>
      </c>
    </row>
    <row r="13">
      <c r="A13" t="inlineStr">
        <is>
          <t>ERA</t>
        </is>
      </c>
      <c r="B13" t="inlineStr">
        <is>
          <t>MARCA_12</t>
        </is>
      </c>
      <c r="L13" t="inlineStr">
        <is>
          <t>CS SNACK SAVORY STICKS CARNE 5OZ · 93514660000</t>
        </is>
      </c>
      <c r="M13" t="inlineStr">
        <is>
          <t>DOG CHOW CARNE POUCH 100G MX · 90038300000</t>
        </is>
      </c>
      <c r="X13" t="inlineStr">
        <is>
          <t>KT FORTI DIET PERICO 2 LB · 90404800000</t>
        </is>
      </c>
      <c r="AB13" t="inlineStr">
        <is>
          <t>SOLLA NUTRECAN CAMPO 0.8KG · 90410800000</t>
        </is>
      </c>
      <c r="AD13" t="inlineStr">
        <is>
          <t>NS CHOICE POLLO Y CEBADA 5OZ MUESTRA · 90034020000</t>
        </is>
      </c>
      <c r="AG13" t="inlineStr">
        <is>
          <t>PEDIGREE RAZAS PEQUENAS 2KG · 90407740000</t>
        </is>
      </c>
      <c r="AK13" t="inlineStr">
        <is>
          <t>PP PERROS HYDROLYZED 6LB · 93519500000</t>
        </is>
      </c>
    </row>
    <row r="14">
      <c r="A14" t="inlineStr">
        <is>
          <t>ESBILAC</t>
        </is>
      </c>
      <c r="B14" t="inlineStr">
        <is>
          <t>MARCA_13</t>
        </is>
      </c>
      <c r="L14" t="inlineStr">
        <is>
          <t>CS SNACK SAVORY STICKS PATO 5OZ · 93514680000</t>
        </is>
      </c>
      <c r="M14" t="inlineStr">
        <is>
          <t>DOG CHOW CORDERO POUCH 100G MX · 90038290000</t>
        </is>
      </c>
      <c r="X14" t="inlineStr">
        <is>
          <t>KT SNACK NATURAL P/CONEJOS Y COBAYO · 93517210000</t>
        </is>
      </c>
      <c r="AB14" t="inlineStr">
        <is>
          <t>SOLLA NUTRECAN CAMPO 16KG · 90410820000</t>
        </is>
      </c>
      <c r="AD14" t="inlineStr">
        <is>
          <t>NS CHOICE R GDE POLLO Y CEBADA 5OZ MUEST · 90034060000</t>
        </is>
      </c>
      <c r="AG14" t="inlineStr">
        <is>
          <t>PEDIGREE RAZAS PEQUENAS ETG 1KG · 90028390000</t>
        </is>
      </c>
      <c r="AK14" t="inlineStr">
        <is>
          <t>PP PERROS LATA GASTRO 13.4OZ · 93519550000</t>
        </is>
      </c>
    </row>
    <row r="15">
      <c r="A15" t="inlineStr">
        <is>
          <t>EUKANUBA</t>
        </is>
      </c>
      <c r="B15" t="inlineStr">
        <is>
          <t>MARCA_14</t>
        </is>
      </c>
      <c r="L15" t="inlineStr">
        <is>
          <t>CS SNACK SAVORY STICKS POLLO 5OZ · 93514650000</t>
        </is>
      </c>
      <c r="M15" t="inlineStr">
        <is>
          <t>DOG CHOW POLLO POUCH 100G MX · 90038270000</t>
        </is>
      </c>
      <c r="X15" t="inlineStr">
        <is>
          <t>KT SUPREME PALOMA 6/5LB · 93500800000</t>
        </is>
      </c>
      <c r="AB15" t="inlineStr">
        <is>
          <t>SOLLA NUTRECAN CAMPO 25KG · 90410830000</t>
        </is>
      </c>
      <c r="AD15" t="inlineStr">
        <is>
          <t>NS CHOICE SNACK GRILLERS CARNE 12OZ · 90034210000</t>
        </is>
      </c>
      <c r="AK15" t="inlineStr">
        <is>
          <t>PP PERROS LATA HYDROLYZED 13.3OZ · 93519510000</t>
        </is>
      </c>
    </row>
    <row r="16">
      <c r="A16" t="inlineStr">
        <is>
          <t>FANCY FEAST</t>
        </is>
      </c>
      <c r="B16" t="inlineStr">
        <is>
          <t>MARCA_15</t>
        </is>
      </c>
      <c r="M16" t="inlineStr">
        <is>
          <t>DOG CHOW POLLO Y CARNE POUCH 100G MX · 90038280000</t>
        </is>
      </c>
      <c r="AB16" t="inlineStr">
        <is>
          <t>SOLLA NUTRECAN CAMPO 2KG · 90415960000</t>
        </is>
      </c>
      <c r="AD16" t="inlineStr">
        <is>
          <t>NS CHOICE SNACK GRILLERS PAVO 12OZ · 90034250000</t>
        </is>
      </c>
      <c r="AK16" t="inlineStr">
        <is>
          <t>PP PERROS LATA SOBREPESO 13.3OZ · 93519490000</t>
        </is>
      </c>
    </row>
    <row r="17">
      <c r="A17" t="inlineStr">
        <is>
          <t>FELIX</t>
        </is>
      </c>
      <c r="B17" t="inlineStr">
        <is>
          <t>MARCA_16</t>
        </is>
      </c>
      <c r="M17" t="inlineStr">
        <is>
          <t>DOG CHOW RAZAS PEQUENAS CARNE POUCH 100G · 90038320000</t>
        </is>
      </c>
      <c r="AB17" t="inlineStr">
        <is>
          <t>SOLLA NUTRECAN CAMPO 8KG · 90410810000</t>
        </is>
      </c>
      <c r="AD17" t="inlineStr">
        <is>
          <t>NS CHOICE SNACK GRILLERS POLLO 12OZ · 90034230000</t>
        </is>
      </c>
      <c r="AK17" t="inlineStr">
        <is>
          <t>PP PERROS LATA SOPORTE RINONES 13.3 · 93519530000</t>
        </is>
      </c>
    </row>
    <row r="18">
      <c r="A18" t="inlineStr">
        <is>
          <t>GENÉRICO (reempaque)</t>
        </is>
      </c>
      <c r="B18" t="inlineStr">
        <is>
          <t>MARCA_17</t>
        </is>
      </c>
      <c r="M18" t="inlineStr">
        <is>
          <t>DOG CHOW RAZAS PEQUENAS CORDERO POUCH 10 · 90038310000</t>
        </is>
      </c>
      <c r="AB18" t="inlineStr">
        <is>
          <t>SOLLA NUTRECAN LIGHT 2KG · 93510840000</t>
        </is>
      </c>
      <c r="AD18" t="inlineStr">
        <is>
          <t>NS GATO Y GATITO POLLO SALMON HIGADO 4 · 93500000479</t>
        </is>
      </c>
      <c r="AK18" t="inlineStr">
        <is>
          <t>PP PERROS NF SOPORTE RINONES 6LB · 93519520000</t>
        </is>
      </c>
    </row>
    <row r="19">
      <c r="A19" t="inlineStr">
        <is>
          <t>GRANDMA MAE'S</t>
        </is>
      </c>
      <c r="B19" t="inlineStr">
        <is>
          <t>MARCA_18</t>
        </is>
      </c>
      <c r="AB19" t="inlineStr">
        <is>
          <t>SOLLA NUTRECAN LIGHT 800GR · 93510830000</t>
        </is>
      </c>
      <c r="AD19" t="inlineStr">
        <is>
          <t>NS GATO Y GATITO POLLO Y ARROZ 4LB · 93500000477</t>
        </is>
      </c>
      <c r="AK19" t="inlineStr">
        <is>
          <t>PP PERROS SOBREPESO 6LB · 93519480000</t>
        </is>
      </c>
    </row>
    <row r="20">
      <c r="A20" t="inlineStr">
        <is>
          <t>HIGGINS</t>
        </is>
      </c>
      <c r="B20" t="inlineStr">
        <is>
          <t>MARCA_19</t>
        </is>
      </c>
      <c r="AD20" t="inlineStr">
        <is>
          <t>NS LATA GF PERRO MARISCOS 13OZ · 93500000475</t>
        </is>
      </c>
      <c r="AK20" t="inlineStr">
        <is>
          <t>PP PROPLAN ADULTO CARNE POUCH 85G · 93520280000</t>
        </is>
      </c>
    </row>
    <row r="21">
      <c r="A21" t="inlineStr">
        <is>
          <t>HILL'S</t>
        </is>
      </c>
      <c r="B21" t="inlineStr">
        <is>
          <t>MARCA_20</t>
        </is>
      </c>
      <c r="AD21" t="inlineStr">
        <is>
          <t>NS LATA GF PERRO POLLO 13OZ · 93500000472</t>
        </is>
      </c>
      <c r="AK21" t="inlineStr">
        <is>
          <t>PP PROPLAN ADULTO SENSIBLE MD 3KG · 93520140000</t>
        </is>
      </c>
    </row>
    <row r="22">
      <c r="A22" t="inlineStr">
        <is>
          <t>KAYTEE</t>
        </is>
      </c>
      <c r="B22" t="inlineStr">
        <is>
          <t>MARCA_21</t>
        </is>
      </c>
      <c r="AD22" t="inlineStr">
        <is>
          <t>NS LATA PERRO CORDERO 13OZ · 93500000468</t>
        </is>
      </c>
      <c r="AK22" t="inlineStr">
        <is>
          <t>PP PROPLAN CACHORRO RZ MD 13KG · 93520200000</t>
        </is>
      </c>
    </row>
    <row r="23">
      <c r="A23" t="inlineStr">
        <is>
          <t>KORDON</t>
        </is>
      </c>
      <c r="B23" t="inlineStr">
        <is>
          <t>MARCA_22</t>
        </is>
      </c>
      <c r="AD23" t="inlineStr">
        <is>
          <t>NS LATA PERRO CORDERO Y PESCADO 13OZ · 93500000467</t>
        </is>
      </c>
      <c r="AK23" t="inlineStr">
        <is>
          <t>PP PROPLAN CACHORRO RZ PQNA 1KG · 93520160000</t>
        </is>
      </c>
    </row>
    <row r="24">
      <c r="A24" t="inlineStr">
        <is>
          <t>MIMADOS</t>
        </is>
      </c>
      <c r="B24" t="inlineStr">
        <is>
          <t>MARCA_23</t>
        </is>
      </c>
      <c r="AD24" t="inlineStr">
        <is>
          <t>NS LATA PERRO POLLO Y ARROZ 13OZ · 93500000466</t>
        </is>
      </c>
      <c r="AK24" t="inlineStr">
        <is>
          <t>PP PROPLAN CACHORROS POUCH 85 G · 93520260000</t>
        </is>
      </c>
    </row>
    <row r="25">
      <c r="A25" t="inlineStr">
        <is>
          <t>MIRRAPEL</t>
        </is>
      </c>
      <c r="B25" t="inlineStr">
        <is>
          <t>MARCA_24</t>
        </is>
      </c>
      <c r="AD25" t="inlineStr">
        <is>
          <t>NS LATA SENIOR POLLO 13OZ · 93500000470</t>
        </is>
      </c>
      <c r="AK25" t="inlineStr">
        <is>
          <t>PP PROPLAN CACHORROS RZ MD OPTI 3KG · 93520130000</t>
        </is>
      </c>
    </row>
    <row r="26">
      <c r="A26" t="inlineStr">
        <is>
          <t>NUTRECAN</t>
        </is>
      </c>
      <c r="B26" t="inlineStr">
        <is>
          <t>MARCA_25</t>
        </is>
      </c>
      <c r="AD26" t="inlineStr">
        <is>
          <t>NS PERRO ADULTO SMB POLLO Y ARROZ 4LB · 93500000422</t>
        </is>
      </c>
      <c r="AK26" t="inlineStr">
        <is>
          <t>PP PROPLAN GATITO POLLO/ARROZ 1.5KG · 93520250000</t>
        </is>
      </c>
    </row>
    <row r="27">
      <c r="A27" t="inlineStr">
        <is>
          <t>NUTRI-VET</t>
        </is>
      </c>
      <c r="B27" t="inlineStr">
        <is>
          <t>MARCA_26</t>
        </is>
      </c>
      <c r="AD27" t="inlineStr">
        <is>
          <t>NS PERRO CORDERO Y ARROZ 4LB · 93500000435</t>
        </is>
      </c>
      <c r="AK27" t="inlineStr">
        <is>
          <t>PP PROPLAN MENTE ACTIVA RZ MD 3KG · 93520230000</t>
        </is>
      </c>
    </row>
    <row r="28">
      <c r="A28" t="inlineStr">
        <is>
          <t>NUTRISOURCE</t>
        </is>
      </c>
      <c r="B28" t="inlineStr">
        <is>
          <t>MARCA_27</t>
        </is>
      </c>
      <c r="AD28" t="inlineStr">
        <is>
          <t>NS PERRO CTRL PESO GF 12LB · 93500000451</t>
        </is>
      </c>
      <c r="AK28" t="inlineStr">
        <is>
          <t>PP SENIOR  ACTIVE MIND RZ PQNA 3KG · 93510271000</t>
        </is>
      </c>
    </row>
    <row r="29">
      <c r="A29" t="inlineStr">
        <is>
          <t>NYLABONE</t>
        </is>
      </c>
      <c r="B29" t="inlineStr">
        <is>
          <t>MARCA_28</t>
        </is>
      </c>
      <c r="AD29" t="inlineStr">
        <is>
          <t>NS PERRO CTRL PESO GF 4LB · 93500000452</t>
        </is>
      </c>
      <c r="AK29" t="inlineStr">
        <is>
          <t>PPVD NC NEUROCARE 6LB · 90038380000</t>
        </is>
      </c>
    </row>
    <row r="30">
      <c r="A30" t="inlineStr">
        <is>
          <t>OLA</t>
        </is>
      </c>
      <c r="B30" t="inlineStr">
        <is>
          <t>MARCA_29</t>
        </is>
      </c>
      <c r="AD30" t="inlineStr">
        <is>
          <t>NS PERRO GF CORDERO Y GUISANTES 4LB · 93500000445</t>
        </is>
      </c>
      <c r="AK30" t="inlineStr">
        <is>
          <t>PPVD NUTRICION CRITICA GATO Y PERRO 5.5O · 90038430000</t>
        </is>
      </c>
    </row>
    <row r="31">
      <c r="A31" t="inlineStr">
        <is>
          <t>PEDIGREE</t>
        </is>
      </c>
      <c r="B31" t="inlineStr">
        <is>
          <t>MARCA_30</t>
        </is>
      </c>
      <c r="AD31" t="inlineStr">
        <is>
          <t>NS PERRO GF MARISCOS 4LB · 93500000464</t>
        </is>
      </c>
      <c r="AK31" t="inlineStr">
        <is>
          <t>PROPLAN ADULTO BOCADOS PEQUENOS 1KG MX · 90038590000</t>
        </is>
      </c>
    </row>
    <row r="32">
      <c r="A32" t="inlineStr">
        <is>
          <t>PERKY PET</t>
        </is>
      </c>
      <c r="B32" t="inlineStr">
        <is>
          <t>MARCA_31</t>
        </is>
      </c>
      <c r="AD32" t="inlineStr">
        <is>
          <t>NS PERRO GF POLLO Y GUISANTE 4LB · 93500000442</t>
        </is>
      </c>
      <c r="AK32" t="inlineStr">
        <is>
          <t>PROPLAN ADULTO EXIGENTE RZ PQNA 3KG · 93520060000</t>
        </is>
      </c>
    </row>
    <row r="33">
      <c r="A33" t="inlineStr">
        <is>
          <t>PET FACTORY</t>
        </is>
      </c>
      <c r="B33" t="inlineStr">
        <is>
          <t>MARCA_32</t>
        </is>
      </c>
      <c r="AD33" t="inlineStr">
        <is>
          <t>NS PERRO GF RZ PQNA POLLO GUISANTE 4LB · 93500000450</t>
        </is>
      </c>
      <c r="AK33" t="inlineStr">
        <is>
          <t>PROPLAN ADULTO RZ MD OPTIHEALTH 7.5 · 93520070000</t>
        </is>
      </c>
    </row>
    <row r="34">
      <c r="A34" t="inlineStr">
        <is>
          <t>PRESCRIPTION DIET</t>
        </is>
      </c>
      <c r="B34" t="inlineStr">
        <is>
          <t>MARCA_33</t>
        </is>
      </c>
      <c r="AD34" t="inlineStr">
        <is>
          <t>NS PERRO PAVO Y ARROZ 4LB · 93500000439</t>
        </is>
      </c>
      <c r="AK34" t="inlineStr">
        <is>
          <t>PROPLAN ADULTO RZ MED OPTIHEALTH 3 · 93520000000</t>
        </is>
      </c>
    </row>
    <row r="35">
      <c r="A35" t="inlineStr">
        <is>
          <t>PRO PLAN</t>
        </is>
      </c>
      <c r="B35" t="inlineStr">
        <is>
          <t>MARCA_34</t>
        </is>
      </c>
      <c r="AD35" t="inlineStr">
        <is>
          <t>NS SENIOR POLLO Y ARROZ 4LB · 93500000432</t>
        </is>
      </c>
      <c r="AK35" t="inlineStr">
        <is>
          <t>PROPLAN EXIGENT BOCADOS PEQUENOS 1KG MX · 90038580000</t>
        </is>
      </c>
    </row>
    <row r="36">
      <c r="A36" t="inlineStr">
        <is>
          <t>PURINA</t>
        </is>
      </c>
      <c r="B36" t="inlineStr">
        <is>
          <t>MARCA_35</t>
        </is>
      </c>
      <c r="AK36" t="inlineStr">
        <is>
          <t>PROPLAN GATO ESTERILIZADO SALMON 3K · 93519980000</t>
        </is>
      </c>
    </row>
    <row r="37">
      <c r="A37" t="inlineStr">
        <is>
          <t>RED BARN</t>
        </is>
      </c>
      <c r="B37" t="inlineStr">
        <is>
          <t>MARCA_36</t>
        </is>
      </c>
      <c r="AK37" t="inlineStr">
        <is>
          <t>PROPLAN GATO SENIOR POLLO/ARROZ 3KG · 93519990000</t>
        </is>
      </c>
    </row>
    <row r="38">
      <c r="A38" t="inlineStr">
        <is>
          <t>RUSH DIRECT</t>
        </is>
      </c>
      <c r="B38" t="inlineStr">
        <is>
          <t>MARCA_37</t>
        </is>
      </c>
      <c r="AK38" t="inlineStr">
        <is>
          <t>PROPLAN MENTE ACTIVA BOCADOS PEQ 1KG MX · 90038610000</t>
        </is>
      </c>
    </row>
    <row r="39">
      <c r="A39" t="inlineStr">
        <is>
          <t>SMARTBONES</t>
        </is>
      </c>
      <c r="B39" t="inlineStr">
        <is>
          <t>MARCA_38</t>
        </is>
      </c>
      <c r="AK39" t="inlineStr">
        <is>
          <t>PROPLAN OPTIDERMA RZ PQNA 7.5KG · 93520010000</t>
        </is>
      </c>
    </row>
    <row r="40">
      <c r="A40" t="inlineStr">
        <is>
          <t>SUPERKAN</t>
        </is>
      </c>
      <c r="B40" t="inlineStr">
        <is>
          <t>MARCA_39</t>
        </is>
      </c>
      <c r="AK40" t="inlineStr">
        <is>
          <t>PROPLAN PIEL SENSI ADULTO RAZAS PEQ 1KG · 90038600000</t>
        </is>
      </c>
    </row>
    <row r="41">
      <c r="A41" t="inlineStr">
        <is>
          <t>SUPRA</t>
        </is>
      </c>
      <c r="B41" t="inlineStr">
        <is>
          <t>MARCA_40</t>
        </is>
      </c>
      <c r="AK41" t="inlineStr">
        <is>
          <t>PROPLAN URINARY GATO ADULTO 1.5KG MX · 90038570000</t>
        </is>
      </c>
    </row>
    <row r="42">
      <c r="A42" t="inlineStr">
        <is>
          <t>SYNERGY</t>
        </is>
      </c>
      <c r="B42" t="inlineStr">
        <is>
          <t>MARCA_41</t>
        </is>
      </c>
      <c r="AK42" t="inlineStr">
        <is>
          <t>PROPLAN URINARY OPTITRACT 3KG · 93519970000</t>
        </is>
      </c>
    </row>
    <row r="43">
      <c r="A43" t="inlineStr">
        <is>
          <t>TETRA</t>
        </is>
      </c>
      <c r="B43" t="inlineStr">
        <is>
          <t>MARCA_42</t>
        </is>
      </c>
    </row>
    <row r="44">
      <c r="A44" t="inlineStr">
        <is>
          <t>TRIUMPH</t>
        </is>
      </c>
      <c r="B44" t="inlineStr">
        <is>
          <t>MARCA_43</t>
        </is>
      </c>
    </row>
    <row r="45">
      <c r="A45" t="inlineStr">
        <is>
          <t>WHISKAS</t>
        </is>
      </c>
      <c r="B45" t="inlineStr">
        <is>
          <t>MARCA_44</t>
        </is>
      </c>
    </row>
    <row r="46">
      <c r="A46" t="inlineStr">
        <is>
          <t>ZOO MED</t>
        </is>
      </c>
      <c r="B46" t="inlineStr">
        <is>
          <t>MARCA_45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ANNAMAET ADULT 23% 5LB · 93500000171</t>
        </is>
      </c>
      <c r="B2" t="inlineStr">
        <is>
          <t>93500000171</t>
        </is>
      </c>
      <c r="C2" t="n">
        <v>4</v>
      </c>
      <c r="D2" t="inlineStr">
        <is>
          <t>ANNAMAET</t>
        </is>
      </c>
    </row>
    <row r="3">
      <c r="A3" t="inlineStr">
        <is>
          <t>AQ GRANULADO COLOR P/ GOLDFISH 3OZ · 93500000238</t>
        </is>
      </c>
      <c r="B3" t="inlineStr">
        <is>
          <t>93500000238</t>
        </is>
      </c>
      <c r="C3" t="n">
        <v>10</v>
      </c>
      <c r="D3" t="inlineStr">
        <is>
          <t>AQUEON</t>
        </is>
      </c>
    </row>
    <row r="4">
      <c r="A4" t="inlineStr">
        <is>
          <t>AQ GRANULADO P PECES TROPICALES 3.25OZ · 93500000243</t>
        </is>
      </c>
      <c r="B4" t="inlineStr">
        <is>
          <t>93500000243</t>
        </is>
      </c>
      <c r="C4" t="n">
        <v>3</v>
      </c>
      <c r="D4" t="inlineStr">
        <is>
          <t>AQUEON</t>
        </is>
      </c>
    </row>
    <row r="5">
      <c r="A5" t="inlineStr">
        <is>
          <t>AQ GRANULADO P PECES TROPICALES 6.5OZ · 93500000242</t>
        </is>
      </c>
      <c r="B5" t="inlineStr">
        <is>
          <t>93500000242</t>
        </is>
      </c>
      <c r="C5" t="n">
        <v>10</v>
      </c>
      <c r="D5" t="inlineStr">
        <is>
          <t>AQUEON</t>
        </is>
      </c>
    </row>
    <row r="6">
      <c r="A6" t="inlineStr">
        <is>
          <t>AQ HOJUELAS P PECES TROPICALES 0.45OZ · 93500000240</t>
        </is>
      </c>
      <c r="B6" t="inlineStr">
        <is>
          <t>93500000240</t>
        </is>
      </c>
      <c r="C6" t="n">
        <v>1</v>
      </c>
      <c r="D6" t="inlineStr">
        <is>
          <t>AQUEON</t>
        </is>
      </c>
    </row>
    <row r="7">
      <c r="A7" t="inlineStr">
        <is>
          <t>AQ HOJUELAS P PECES TROPICALES 1.02OZ · 93500000241</t>
        </is>
      </c>
      <c r="B7" t="inlineStr">
        <is>
          <t>93500000241</t>
        </is>
      </c>
      <c r="C7" t="n">
        <v>5</v>
      </c>
      <c r="D7" t="inlineStr">
        <is>
          <t>AQUEON</t>
        </is>
      </c>
    </row>
    <row r="8">
      <c r="A8" t="inlineStr">
        <is>
          <t>AQ HOJUELAS P PECES TROPICALES 2.29OZ · 93500000239</t>
        </is>
      </c>
      <c r="B8" t="inlineStr">
        <is>
          <t>93500000239</t>
        </is>
      </c>
      <c r="C8" t="n">
        <v>10</v>
      </c>
      <c r="D8" t="inlineStr">
        <is>
          <t>AQUEON</t>
        </is>
      </c>
    </row>
    <row r="9">
      <c r="A9" t="inlineStr">
        <is>
          <t>AQ HOJUELAS P/ GOLDFISH 1.02OZ · 93500000247</t>
        </is>
      </c>
      <c r="B9" t="inlineStr">
        <is>
          <t>93500000247</t>
        </is>
      </c>
      <c r="C9" t="n">
        <v>12</v>
      </c>
      <c r="D9" t="inlineStr">
        <is>
          <t>AQUEON</t>
        </is>
      </c>
    </row>
    <row r="10">
      <c r="A10" t="inlineStr">
        <is>
          <t>ASCAN ADULTO 2KG · 90409520000</t>
        </is>
      </c>
      <c r="B10" t="inlineStr">
        <is>
          <t>90409520000</t>
        </is>
      </c>
      <c r="C10" t="n">
        <v>4</v>
      </c>
      <c r="D10" t="inlineStr">
        <is>
          <t>ASCAN</t>
        </is>
      </c>
    </row>
    <row r="11">
      <c r="A11" t="inlineStr">
        <is>
          <t>ASCAN ADULTOS 4KG · 93503610000</t>
        </is>
      </c>
      <c r="B11" t="inlineStr">
        <is>
          <t>93503610000</t>
        </is>
      </c>
      <c r="C11" t="n">
        <v>2</v>
      </c>
      <c r="D11" t="inlineStr">
        <is>
          <t>ASCAN</t>
        </is>
      </c>
    </row>
    <row r="12">
      <c r="A12" t="inlineStr">
        <is>
          <t>ASCAN CACHORRO 2KG · 90409500000</t>
        </is>
      </c>
      <c r="B12" t="inlineStr">
        <is>
          <t>90409500000</t>
        </is>
      </c>
      <c r="C12" t="n">
        <v>2</v>
      </c>
      <c r="D12" t="inlineStr">
        <is>
          <t>ASCAN</t>
        </is>
      </c>
    </row>
    <row r="13">
      <c r="A13" t="inlineStr">
        <is>
          <t>ASCAN CACHORROS 1KG · 93513380000</t>
        </is>
      </c>
      <c r="B13" t="inlineStr">
        <is>
          <t>93513380000</t>
        </is>
      </c>
      <c r="C13" t="n">
        <v>2</v>
      </c>
      <c r="D13" t="inlineStr">
        <is>
          <t>ASCAN</t>
        </is>
      </c>
    </row>
    <row r="14">
      <c r="A14" t="inlineStr">
        <is>
          <t>ASCAN CACHORROS 4KG · 93503530000</t>
        </is>
      </c>
      <c r="B14" t="inlineStr">
        <is>
          <t>93503530000</t>
        </is>
      </c>
      <c r="C14" t="n">
        <v>4</v>
      </c>
      <c r="D14" t="inlineStr">
        <is>
          <t>ASCAN</t>
        </is>
      </c>
    </row>
    <row r="15">
      <c r="A15" t="inlineStr">
        <is>
          <t>BILJAC ADULT 15LB · 93503080000</t>
        </is>
      </c>
      <c r="B15" t="inlineStr">
        <is>
          <t>93503080000</t>
        </is>
      </c>
      <c r="C15" t="n">
        <v>2</v>
      </c>
      <c r="D15" t="inlineStr">
        <is>
          <t>BIL-JAC</t>
        </is>
      </c>
    </row>
    <row r="16">
      <c r="A16" t="inlineStr">
        <is>
          <t>BILJAC ADULT 6LB · 93503090000</t>
        </is>
      </c>
      <c r="B16" t="inlineStr">
        <is>
          <t>93503090000</t>
        </is>
      </c>
      <c r="C16" t="n">
        <v>4</v>
      </c>
      <c r="D16" t="inlineStr">
        <is>
          <t>BIL-JAC</t>
        </is>
      </c>
    </row>
    <row r="17">
      <c r="A17" t="inlineStr">
        <is>
          <t>BILJAC ADULTO 30LB · 93503070000</t>
        </is>
      </c>
      <c r="B17" t="inlineStr">
        <is>
          <t>93503070000</t>
        </is>
      </c>
      <c r="C17" t="n">
        <v>1</v>
      </c>
      <c r="D17" t="inlineStr">
        <is>
          <t>BIL-JAC</t>
        </is>
      </c>
    </row>
    <row r="18">
      <c r="A18" t="inlineStr">
        <is>
          <t>BILJAC ADULTO RAZA GRANDE 15LB · 93503200000</t>
        </is>
      </c>
      <c r="B18" t="inlineStr">
        <is>
          <t>93503200000</t>
        </is>
      </c>
      <c r="C18" t="n">
        <v>2</v>
      </c>
      <c r="D18" t="inlineStr">
        <is>
          <t>BIL-JAC</t>
        </is>
      </c>
    </row>
    <row r="19">
      <c r="A19" t="inlineStr">
        <is>
          <t>BILJAC ADULTO RAZA PEQUENA 6LB · 93503250000</t>
        </is>
      </c>
      <c r="B19" t="inlineStr">
        <is>
          <t>93503250000</t>
        </is>
      </c>
      <c r="C19" t="n">
        <v>3</v>
      </c>
      <c r="D19" t="inlineStr">
        <is>
          <t>BIL-JAC</t>
        </is>
      </c>
    </row>
    <row r="20">
      <c r="A20" t="inlineStr">
        <is>
          <t>BILJAC CACHORRO RAZA PEQUENA 6LB · 93503260000</t>
        </is>
      </c>
      <c r="B20" t="inlineStr">
        <is>
          <t>93503260000</t>
        </is>
      </c>
      <c r="C20" t="n">
        <v>1</v>
      </c>
      <c r="D20" t="inlineStr">
        <is>
          <t>BIL-JAC</t>
        </is>
      </c>
    </row>
    <row r="21">
      <c r="A21" t="inlineStr">
        <is>
          <t>BILJAC CACHORROS 6LB · 93503120000</t>
        </is>
      </c>
      <c r="B21" t="inlineStr">
        <is>
          <t>93503120000</t>
        </is>
      </c>
      <c r="C21" t="n">
        <v>4</v>
      </c>
      <c r="D21" t="inlineStr">
        <is>
          <t>BIL-JAC</t>
        </is>
      </c>
    </row>
    <row r="22">
      <c r="A22" t="inlineStr">
        <is>
          <t>BILJAC PICKY NO MORE RAZA PEQUENA 6 · 93516580000</t>
        </is>
      </c>
      <c r="B22" t="inlineStr">
        <is>
          <t>93516580000</t>
        </is>
      </c>
      <c r="C22" t="n">
        <v>4</v>
      </c>
      <c r="D22" t="inlineStr">
        <is>
          <t>BIL-JAC</t>
        </is>
      </c>
    </row>
    <row r="23">
      <c r="A23" t="inlineStr">
        <is>
          <t>BILJAC REDUCCION DE PESO 6LB · 93503180000</t>
        </is>
      </c>
      <c r="B23" t="inlineStr">
        <is>
          <t>93503180000</t>
        </is>
      </c>
      <c r="C23" t="n">
        <v>4</v>
      </c>
      <c r="D23" t="inlineStr">
        <is>
          <t>BIL-JAC</t>
        </is>
      </c>
    </row>
    <row r="24">
      <c r="A24" t="inlineStr">
        <is>
          <t>BILJAC SENIOR 6LB · 93503150000</t>
        </is>
      </c>
      <c r="B24" t="inlineStr">
        <is>
          <t>93503150000</t>
        </is>
      </c>
      <c r="C24" t="n">
        <v>5</v>
      </c>
      <c r="D24" t="inlineStr">
        <is>
          <t>BIL-JAC</t>
        </is>
      </c>
    </row>
    <row r="25">
      <c r="A25" t="inlineStr">
        <is>
          <t>BILJAC SENIOR RAZA PEQUENA 6LB · 93516570000</t>
        </is>
      </c>
      <c r="B25" t="inlineStr">
        <is>
          <t>93516570000</t>
        </is>
      </c>
      <c r="C25" t="n">
        <v>3</v>
      </c>
      <c r="D25" t="inlineStr">
        <is>
          <t>BIL-JAC</t>
        </is>
      </c>
    </row>
    <row r="26">
      <c r="A26" t="inlineStr">
        <is>
          <t>BRW ENCORE COBAYO 5LB · 90455220000</t>
        </is>
      </c>
      <c r="B26" t="inlineStr">
        <is>
          <t>90455220000</t>
        </is>
      </c>
      <c r="C26" t="n">
        <v>5</v>
      </c>
      <c r="D26" t="inlineStr">
        <is>
          <t>BROWN'S</t>
        </is>
      </c>
    </row>
    <row r="27">
      <c r="A27" t="inlineStr">
        <is>
          <t>BRW ENCORE CONEJO 10 LB · 90405990000</t>
        </is>
      </c>
      <c r="B27" t="inlineStr">
        <is>
          <t>90405990000</t>
        </is>
      </c>
      <c r="C27" t="n">
        <v>4</v>
      </c>
      <c r="D27" t="inlineStr">
        <is>
          <t>BROWN'S</t>
        </is>
      </c>
    </row>
    <row r="28">
      <c r="A28" t="inlineStr">
        <is>
          <t>BRW ENCORE CONEJO 2LB · 90739690000</t>
        </is>
      </c>
      <c r="B28" t="inlineStr">
        <is>
          <t>90739690000</t>
        </is>
      </c>
      <c r="C28" t="n">
        <v>3</v>
      </c>
      <c r="D28" t="inlineStr">
        <is>
          <t>BROWN'S</t>
        </is>
      </c>
    </row>
    <row r="29">
      <c r="A29" t="inlineStr">
        <is>
          <t>BRW ENCORE GOURMET COBAYO  4LB · 90413040000</t>
        </is>
      </c>
      <c r="B29" t="inlineStr">
        <is>
          <t>90413040000</t>
        </is>
      </c>
      <c r="C29" t="n">
        <v>6</v>
      </c>
      <c r="D29" t="inlineStr">
        <is>
          <t>BROWN'S</t>
        </is>
      </c>
    </row>
    <row r="30">
      <c r="A30" t="inlineStr">
        <is>
          <t>BRW ENCORE LORO 4 LB · 90403890000</t>
        </is>
      </c>
      <c r="B30" t="inlineStr">
        <is>
          <t>90403890000</t>
        </is>
      </c>
      <c r="C30" t="n">
        <v>8</v>
      </c>
      <c r="D30" t="inlineStr">
        <is>
          <t>BROWN'S</t>
        </is>
      </c>
    </row>
    <row r="31">
      <c r="A31" t="inlineStr">
        <is>
          <t>BRW ENCORE PERICO 2LB · 90739660000</t>
        </is>
      </c>
      <c r="B31" t="inlineStr">
        <is>
          <t>90739660000</t>
        </is>
      </c>
      <c r="C31" t="n">
        <v>1</v>
      </c>
      <c r="D31" t="inlineStr">
        <is>
          <t>BROWN'S</t>
        </is>
      </c>
    </row>
    <row r="32">
      <c r="A32" t="inlineStr">
        <is>
          <t>BRW ENCORE PREMIUM CONEJO 5 LB · 90403940000</t>
        </is>
      </c>
      <c r="B32" t="inlineStr">
        <is>
          <t>90403940000</t>
        </is>
      </c>
      <c r="C32" t="n">
        <v>2</v>
      </c>
      <c r="D32" t="inlineStr">
        <is>
          <t>BROWN'S</t>
        </is>
      </c>
    </row>
    <row r="33">
      <c r="A33" t="inlineStr">
        <is>
          <t>BRW LOROS ENCORE CLASSIC 4LB · 90413050000</t>
        </is>
      </c>
      <c r="B33" t="inlineStr">
        <is>
          <t>90413050000</t>
        </is>
      </c>
      <c r="C33" t="n">
        <v>16</v>
      </c>
      <c r="D33" t="inlineStr">
        <is>
          <t>BROWN'S</t>
        </is>
      </c>
    </row>
    <row r="34">
      <c r="A34" t="inlineStr">
        <is>
          <t>BRW LOROS ENCORE GOURMET 4LB · 90413110000</t>
        </is>
      </c>
      <c r="B34" t="inlineStr">
        <is>
          <t>90413110000</t>
        </is>
      </c>
      <c r="C34" t="n">
        <v>4</v>
      </c>
      <c r="D34" t="inlineStr">
        <is>
          <t>BROWN'S</t>
        </is>
      </c>
    </row>
    <row r="35">
      <c r="A35" t="inlineStr">
        <is>
          <t>BRW TROPICAL CARNIVAL CONEJO 5 LB · 90403780000</t>
        </is>
      </c>
      <c r="B35" t="inlineStr">
        <is>
          <t>90403780000</t>
        </is>
      </c>
      <c r="C35" t="n">
        <v>5</v>
      </c>
      <c r="D35" t="inlineStr">
        <is>
          <t>BROWN'S</t>
        </is>
      </c>
    </row>
    <row r="36">
      <c r="A36" t="inlineStr">
        <is>
          <t>BRW TROPICAL CARNIVAL PERICO 2LB · 90401320000</t>
        </is>
      </c>
      <c r="B36" t="inlineStr">
        <is>
          <t>90401320000</t>
        </is>
      </c>
      <c r="C36" t="n">
        <v>3</v>
      </c>
      <c r="D36" t="inlineStr">
        <is>
          <t>BROWN'S</t>
        </is>
      </c>
    </row>
    <row r="37">
      <c r="A37" t="inlineStr">
        <is>
          <t>D CARU CLASS ESTOF POLLO CANGR P/GAT 5.5 · 93500000318</t>
        </is>
      </c>
      <c r="B37" t="inlineStr">
        <is>
          <t>93500000318</t>
        </is>
      </c>
      <c r="C37" t="n">
        <v>2</v>
      </c>
      <c r="D37" t="inlineStr">
        <is>
          <t>CARU</t>
        </is>
      </c>
    </row>
    <row r="38">
      <c r="A38" t="inlineStr">
        <is>
          <t>D CARU CLASS ESTOF SALMON PAV P/GATO 5.5 · 93500000320</t>
        </is>
      </c>
      <c r="B38" t="inlineStr">
        <is>
          <t>93500000320</t>
        </is>
      </c>
      <c r="C38" t="n">
        <v>4</v>
      </c>
      <c r="D38" t="inlineStr">
        <is>
          <t>CARU</t>
        </is>
      </c>
    </row>
    <row r="39">
      <c r="A39" t="inlineStr">
        <is>
          <t>D CARU SNACK SABOR CARNE P/PERRO 4OZ · 93500000303</t>
        </is>
      </c>
      <c r="B39" t="inlineStr">
        <is>
          <t>93500000303</t>
        </is>
      </c>
      <c r="C39" t="n">
        <v>2</v>
      </c>
      <c r="D39" t="inlineStr">
        <is>
          <t>CARU</t>
        </is>
      </c>
    </row>
    <row r="40">
      <c r="A40" t="inlineStr">
        <is>
          <t>CAT CHOW ADULTO HOGARENO 1.5KG · 93520030000</t>
        </is>
      </c>
      <c r="B40" t="inlineStr">
        <is>
          <t>93520030000</t>
        </is>
      </c>
      <c r="C40" t="n">
        <v>7</v>
      </c>
      <c r="D40" t="inlineStr">
        <is>
          <t>CAT CHOW</t>
        </is>
      </c>
    </row>
    <row r="41">
      <c r="A41" t="inlineStr">
        <is>
          <t>CAT CHOW DEFENSE PLUS PESCADO 1.5KG · 90408400000</t>
        </is>
      </c>
      <c r="B41" t="inlineStr">
        <is>
          <t>90408400000</t>
        </is>
      </c>
      <c r="C41" t="n">
        <v>5</v>
      </c>
      <c r="D41" t="inlineStr">
        <is>
          <t>CAT CHOW</t>
        </is>
      </c>
    </row>
    <row r="42">
      <c r="A42" t="inlineStr">
        <is>
          <t>CAT CHOW DEFENSE PLUS PESCADO 9KG · 90408490000</t>
        </is>
      </c>
      <c r="B42" t="inlineStr">
        <is>
          <t>90408490000</t>
        </is>
      </c>
      <c r="C42" t="n">
        <v>2</v>
      </c>
      <c r="D42" t="inlineStr">
        <is>
          <t>CAT CHOW</t>
        </is>
      </c>
    </row>
    <row r="43">
      <c r="A43" t="inlineStr">
        <is>
          <t>CESAR CACHORRO 100GR · 90028460000</t>
        </is>
      </c>
      <c r="B43" t="inlineStr">
        <is>
          <t>90028460000</t>
        </is>
      </c>
      <c r="C43" t="n">
        <v>6</v>
      </c>
      <c r="D43" t="inlineStr">
        <is>
          <t>CESAR</t>
        </is>
      </c>
    </row>
    <row r="44">
      <c r="A44" t="inlineStr">
        <is>
          <t>CESAR CARNE 100GR · 90028440000</t>
        </is>
      </c>
      <c r="B44" t="inlineStr">
        <is>
          <t>90028440000</t>
        </is>
      </c>
      <c r="C44" t="n">
        <v>5</v>
      </c>
      <c r="D44" t="inlineStr">
        <is>
          <t>CESAR</t>
        </is>
      </c>
    </row>
    <row r="45">
      <c r="A45" t="inlineStr">
        <is>
          <t>CESAR CORDERO 100GR · 90028480000</t>
        </is>
      </c>
      <c r="B45" t="inlineStr">
        <is>
          <t>90028480000</t>
        </is>
      </c>
      <c r="C45" t="n">
        <v>6</v>
      </c>
      <c r="D45" t="inlineStr">
        <is>
          <t>CESAR</t>
        </is>
      </c>
    </row>
    <row r="46">
      <c r="A46" t="inlineStr">
        <is>
          <t>CESAR PAVO 100GR · 90028470000</t>
        </is>
      </c>
      <c r="B46" t="inlineStr">
        <is>
          <t>90028470000</t>
        </is>
      </c>
      <c r="C46" t="n">
        <v>3</v>
      </c>
      <c r="D46" t="inlineStr">
        <is>
          <t>CESAR</t>
        </is>
      </c>
    </row>
    <row r="47">
      <c r="A47" t="inlineStr">
        <is>
          <t>CESAR POLLO PARRILLA 100GR · 90028450000</t>
        </is>
      </c>
      <c r="B47" t="inlineStr">
        <is>
          <t>90028450000</t>
        </is>
      </c>
      <c r="C47" t="n">
        <v>6</v>
      </c>
      <c r="D47" t="inlineStr">
        <is>
          <t>CESAR</t>
        </is>
      </c>
    </row>
    <row r="48">
      <c r="A48" t="inlineStr">
        <is>
          <t>CS CLASSIC MATURE POLLO RZ PQNA 4.5 · 93518630000</t>
        </is>
      </c>
      <c r="B48" t="inlineStr">
        <is>
          <t>93518630000</t>
        </is>
      </c>
      <c r="C48" t="n">
        <v>5</v>
      </c>
      <c r="D48" t="inlineStr">
        <is>
          <t>CHICKEN SOUP</t>
        </is>
      </c>
    </row>
    <row r="49">
      <c r="A49" t="inlineStr">
        <is>
          <t>CS CLASSIC POLLO P/ADULTO 4.5LB · 93511070000</t>
        </is>
      </c>
      <c r="B49" t="inlineStr">
        <is>
          <t>93511070000</t>
        </is>
      </c>
      <c r="C49" t="n">
        <v>6</v>
      </c>
      <c r="D49" t="inlineStr">
        <is>
          <t>CHICKEN SOUP</t>
        </is>
      </c>
    </row>
    <row r="50">
      <c r="A50" t="inlineStr">
        <is>
          <t>CS CLASSIC POLLO P/CACHORRO 4.5LB · 93511100000</t>
        </is>
      </c>
      <c r="B50" t="inlineStr">
        <is>
          <t>93511100000</t>
        </is>
      </c>
      <c r="C50" t="n">
        <v>6</v>
      </c>
      <c r="D50" t="inlineStr">
        <is>
          <t>CHICKEN SOUP</t>
        </is>
      </c>
    </row>
    <row r="51">
      <c r="A51" t="inlineStr">
        <is>
          <t>CS GATO INTERIOR/ ATUN 4.5LB · 93518640000</t>
        </is>
      </c>
      <c r="B51" t="inlineStr">
        <is>
          <t>93518640000</t>
        </is>
      </c>
      <c r="C51" t="n">
        <v>4</v>
      </c>
      <c r="D51" t="inlineStr">
        <is>
          <t>CHICKEN SOUP</t>
        </is>
      </c>
    </row>
    <row r="52">
      <c r="A52" t="inlineStr">
        <is>
          <t>CS GATO SALMON Y ARROZ 4.5LB · 93500000254</t>
        </is>
      </c>
      <c r="B52" t="inlineStr">
        <is>
          <t>93500000254</t>
        </is>
      </c>
      <c r="C52" t="n">
        <v>5</v>
      </c>
      <c r="D52" t="inlineStr">
        <is>
          <t>CHICKEN SOUP</t>
        </is>
      </c>
    </row>
    <row r="53">
      <c r="A53" t="inlineStr">
        <is>
          <t>CS GRAIN FREE SALMON P/PERRO 4 LB · 93514460000</t>
        </is>
      </c>
      <c r="B53" t="inlineStr">
        <is>
          <t>93514460000</t>
        </is>
      </c>
      <c r="C53" t="n">
        <v>5</v>
      </c>
      <c r="D53" t="inlineStr">
        <is>
          <t>CHICKEN SOUP</t>
        </is>
      </c>
    </row>
    <row r="54">
      <c r="A54" t="inlineStr">
        <is>
          <t>CS SNACK CRUNCHY M MANI /PERRO 12OZ · 93514390000</t>
        </is>
      </c>
      <c r="B54" t="inlineStr">
        <is>
          <t>93514390000</t>
        </is>
      </c>
      <c r="C54" t="n">
        <v>1</v>
      </c>
      <c r="D54" t="inlineStr">
        <is>
          <t>CHICKEN SOUP</t>
        </is>
      </c>
    </row>
    <row r="55">
      <c r="A55" t="inlineStr">
        <is>
          <t>CS SNACK CRUNCHY POLLO P/PERRO 12OZ · 93511270000</t>
        </is>
      </c>
      <c r="B55" t="inlineStr">
        <is>
          <t>93511270000</t>
        </is>
      </c>
      <c r="C55" t="n">
        <v>5</v>
      </c>
      <c r="D55" t="inlineStr">
        <is>
          <t>CHICKEN SOUP</t>
        </is>
      </c>
    </row>
    <row r="56">
      <c r="A56" t="inlineStr">
        <is>
          <t>CS SNACK CRUNCHY TOCINO /PERRO 12OZ · 93514380000</t>
        </is>
      </c>
      <c r="B56" t="inlineStr">
        <is>
          <t>93514380000</t>
        </is>
      </c>
      <c r="C56" t="n">
        <v>5</v>
      </c>
      <c r="D56" t="inlineStr">
        <is>
          <t>CHICKEN SOUP</t>
        </is>
      </c>
    </row>
    <row r="57">
      <c r="A57" t="inlineStr">
        <is>
          <t>CS SNACK SAVORY CARNE P/PERRO 6OZ · 93514410000</t>
        </is>
      </c>
      <c r="B57" t="inlineStr">
        <is>
          <t>93514410000</t>
        </is>
      </c>
      <c r="C57" t="n">
        <v>2</v>
      </c>
      <c r="D57" t="inlineStr">
        <is>
          <t>CHICKEN SOUP</t>
        </is>
      </c>
    </row>
    <row r="58">
      <c r="A58" t="inlineStr">
        <is>
          <t>CS SNACK SAVORY POLLO P/PERRO 6OZ · 93514420000</t>
        </is>
      </c>
      <c r="B58" t="inlineStr">
        <is>
          <t>93514420000</t>
        </is>
      </c>
      <c r="C58" t="n">
        <v>2</v>
      </c>
      <c r="D58" t="inlineStr">
        <is>
          <t>CHICKEN SOUP</t>
        </is>
      </c>
    </row>
    <row r="59">
      <c r="A59" t="inlineStr">
        <is>
          <t>CS SNACK SAVORY STICKS CARNE 5OZ · 93514660000</t>
        </is>
      </c>
      <c r="B59" t="inlineStr">
        <is>
          <t>93514660000</t>
        </is>
      </c>
      <c r="C59" t="n">
        <v>1</v>
      </c>
      <c r="D59" t="inlineStr">
        <is>
          <t>CHICKEN SOUP</t>
        </is>
      </c>
    </row>
    <row r="60">
      <c r="A60" t="inlineStr">
        <is>
          <t>CS SNACK SAVORY STICKS PATO 5OZ · 93514680000</t>
        </is>
      </c>
      <c r="B60" t="inlineStr">
        <is>
          <t>93514680000</t>
        </is>
      </c>
      <c r="C60" t="n">
        <v>3</v>
      </c>
      <c r="D60" t="inlineStr">
        <is>
          <t>CHICKEN SOUP</t>
        </is>
      </c>
    </row>
    <row r="61">
      <c r="A61" t="inlineStr">
        <is>
          <t>CS SNACK SAVORY STICKS POLLO 5OZ · 93514650000</t>
        </is>
      </c>
      <c r="B61" t="inlineStr">
        <is>
          <t>93514650000</t>
        </is>
      </c>
      <c r="C61" t="n">
        <v>6</v>
      </c>
      <c r="D61" t="inlineStr">
        <is>
          <t>CHICKEN SOUP</t>
        </is>
      </c>
    </row>
    <row r="62">
      <c r="A62" t="inlineStr">
        <is>
          <t>DOG CHOW ADULT RZ PEQUENA 2KG · 90410400000</t>
        </is>
      </c>
      <c r="B62" t="inlineStr">
        <is>
          <t>90410400000</t>
        </is>
      </c>
      <c r="C62" t="n">
        <v>2</v>
      </c>
      <c r="D62" t="inlineStr">
        <is>
          <t>DOG CHOW</t>
        </is>
      </c>
    </row>
    <row r="63">
      <c r="A63" t="inlineStr">
        <is>
          <t>DOG CHOW ADULT RZ PEQUENA 4KG · 90410390000</t>
        </is>
      </c>
      <c r="B63" t="inlineStr">
        <is>
          <t>90410390000</t>
        </is>
      </c>
      <c r="C63" t="n">
        <v>1</v>
      </c>
      <c r="D63" t="inlineStr">
        <is>
          <t>DOG CHOW</t>
        </is>
      </c>
    </row>
    <row r="64">
      <c r="A64" t="inlineStr">
        <is>
          <t>DOG CHOW ADULTO 2KG · 93512370000</t>
        </is>
      </c>
      <c r="B64" t="inlineStr">
        <is>
          <t>93512370000</t>
        </is>
      </c>
      <c r="C64" t="n">
        <v>3</v>
      </c>
      <c r="D64" t="inlineStr">
        <is>
          <t>DOG CHOW</t>
        </is>
      </c>
    </row>
    <row r="65">
      <c r="A65" t="inlineStr">
        <is>
          <t>DOG CHOW ADULTO 4KG · 93512380000</t>
        </is>
      </c>
      <c r="B65" t="inlineStr">
        <is>
          <t>93512380000</t>
        </is>
      </c>
      <c r="C65" t="n">
        <v>2</v>
      </c>
      <c r="D65" t="inlineStr">
        <is>
          <t>DOG CHOW</t>
        </is>
      </c>
    </row>
    <row r="66">
      <c r="A66" t="inlineStr">
        <is>
          <t>DOG CHOW ADULTO ALTO EN PROTEINA 3.75KG · 90038350000</t>
        </is>
      </c>
      <c r="B66" t="inlineStr">
        <is>
          <t>90038350000</t>
        </is>
      </c>
      <c r="C66" t="n">
        <v>1</v>
      </c>
      <c r="D66" t="inlineStr">
        <is>
          <t>DOG CHOW</t>
        </is>
      </c>
    </row>
    <row r="67">
      <c r="A67" t="inlineStr">
        <is>
          <t>DOG CHOW ADULTO CORDERO 3.75KG MX · 90038370000</t>
        </is>
      </c>
      <c r="B67" t="inlineStr">
        <is>
          <t>90038370000</t>
        </is>
      </c>
      <c r="C67" t="n">
        <v>1</v>
      </c>
      <c r="D67" t="inlineStr">
        <is>
          <t>DOG CHOW</t>
        </is>
      </c>
    </row>
    <row r="68">
      <c r="A68" t="inlineStr">
        <is>
          <t>DOG CHOW CACHORRO RAZA MD/GR 4KG · 93512540000</t>
        </is>
      </c>
      <c r="B68" t="inlineStr">
        <is>
          <t>93512540000</t>
        </is>
      </c>
      <c r="C68" t="n">
        <v>2</v>
      </c>
      <c r="D68" t="inlineStr">
        <is>
          <t>DOG CHOW</t>
        </is>
      </c>
    </row>
    <row r="69">
      <c r="A69" t="inlineStr">
        <is>
          <t>DOG CHOW CACHORRO RAZA MD/GRD 2KG · 93512530000</t>
        </is>
      </c>
      <c r="B69" t="inlineStr">
        <is>
          <t>93512530000</t>
        </is>
      </c>
      <c r="C69" t="n">
        <v>4</v>
      </c>
      <c r="D69" t="inlineStr">
        <is>
          <t>DOG CHOW</t>
        </is>
      </c>
    </row>
    <row r="70">
      <c r="A70" t="inlineStr">
        <is>
          <t>DOG CHOW CACHORRO RAZA PEQUENA 2KG · 93512550000</t>
        </is>
      </c>
      <c r="B70" t="inlineStr">
        <is>
          <t>93512550000</t>
        </is>
      </c>
      <c r="C70" t="n">
        <v>3</v>
      </c>
      <c r="D70" t="inlineStr">
        <is>
          <t>DOG CHOW</t>
        </is>
      </c>
    </row>
    <row r="71">
      <c r="A71" t="inlineStr">
        <is>
          <t>DOG CHOW CACHORROS POLLO POUCH 100G MX · 90038330000</t>
        </is>
      </c>
      <c r="B71" t="inlineStr">
        <is>
          <t>90038330000</t>
        </is>
      </c>
      <c r="C71" t="n">
        <v>11</v>
      </c>
      <c r="D71" t="inlineStr">
        <is>
          <t>DOG CHOW</t>
        </is>
      </c>
    </row>
    <row r="72">
      <c r="A72" t="inlineStr">
        <is>
          <t>DOG CHOW CACHORROS RAZAS PEQUENAS 4KG MX · 90038340000</t>
        </is>
      </c>
      <c r="B72" t="inlineStr">
        <is>
          <t>90038340000</t>
        </is>
      </c>
      <c r="C72" t="n">
        <v>1</v>
      </c>
      <c r="D72" t="inlineStr">
        <is>
          <t>DOG CHOW</t>
        </is>
      </c>
    </row>
    <row r="73">
      <c r="A73" t="inlineStr">
        <is>
          <t>DOG CHOW CARNE POUCH 100G MX · 90038300000</t>
        </is>
      </c>
      <c r="B73" t="inlineStr">
        <is>
          <t>90038300000</t>
        </is>
      </c>
      <c r="C73" t="n">
        <v>9</v>
      </c>
      <c r="D73" t="inlineStr">
        <is>
          <t>DOG CHOW</t>
        </is>
      </c>
    </row>
    <row r="74">
      <c r="A74" t="inlineStr">
        <is>
          <t>DOG CHOW CORDERO POUCH 100G MX · 90038290000</t>
        </is>
      </c>
      <c r="B74" t="inlineStr">
        <is>
          <t>90038290000</t>
        </is>
      </c>
      <c r="C74" t="n">
        <v>23</v>
      </c>
      <c r="D74" t="inlineStr">
        <is>
          <t>DOG CHOW</t>
        </is>
      </c>
    </row>
    <row r="75">
      <c r="A75" t="inlineStr">
        <is>
          <t>DOG CHOW POLLO POUCH 100G MX · 90038270000</t>
        </is>
      </c>
      <c r="B75" t="inlineStr">
        <is>
          <t>90038270000</t>
        </is>
      </c>
      <c r="C75" t="n">
        <v>21</v>
      </c>
      <c r="D75" t="inlineStr">
        <is>
          <t>DOG CHOW</t>
        </is>
      </c>
    </row>
    <row r="76">
      <c r="A76" t="inlineStr">
        <is>
          <t>DOG CHOW POLLO Y CARNE POUCH 100G MX · 90038280000</t>
        </is>
      </c>
      <c r="B76" t="inlineStr">
        <is>
          <t>90038280000</t>
        </is>
      </c>
      <c r="C76" t="n">
        <v>18</v>
      </c>
      <c r="D76" t="inlineStr">
        <is>
          <t>DOG CHOW</t>
        </is>
      </c>
    </row>
    <row r="77">
      <c r="A77" t="inlineStr">
        <is>
          <t>DOG CHOW RAZAS PEQUENAS CARNE POUCH 100G · 90038320000</t>
        </is>
      </c>
      <c r="B77" t="inlineStr">
        <is>
          <t>90038320000</t>
        </is>
      </c>
      <c r="C77" t="n">
        <v>24</v>
      </c>
      <c r="D77" t="inlineStr">
        <is>
          <t>DOG CHOW</t>
        </is>
      </c>
    </row>
    <row r="78">
      <c r="A78" t="inlineStr">
        <is>
          <t>DOG CHOW RAZAS PEQUENAS CORDERO POUCH 10 · 90038310000</t>
        </is>
      </c>
      <c r="B78" t="inlineStr">
        <is>
          <t>90038310000</t>
        </is>
      </c>
      <c r="C78" t="n">
        <v>23</v>
      </c>
      <c r="D78" t="inlineStr">
        <is>
          <t>DOG CHOW</t>
        </is>
      </c>
    </row>
    <row r="79">
      <c r="A79" t="inlineStr">
        <is>
          <t>EP SNACK P/GATO WHOLLY FISH TUNA 3 · 93514780000</t>
        </is>
      </c>
      <c r="B79" t="inlineStr">
        <is>
          <t>93514780000</t>
        </is>
      </c>
      <c r="C79" t="n">
        <v>4</v>
      </c>
      <c r="D79" t="inlineStr">
        <is>
          <t>EMERALD</t>
        </is>
      </c>
    </row>
    <row r="80">
      <c r="A80" t="inlineStr">
        <is>
          <t>EP SNACK PUMPKIN HARVEST MANZANA 6OZ · 93500000505</t>
        </is>
      </c>
      <c r="B80" t="inlineStr">
        <is>
          <t>93500000505</t>
        </is>
      </c>
      <c r="C80" t="n">
        <v>1</v>
      </c>
      <c r="D80" t="inlineStr">
        <is>
          <t>EMERALD</t>
        </is>
      </c>
    </row>
    <row r="81">
      <c r="A81" t="inlineStr">
        <is>
          <t>D ERA SYBARITE LATA ATUN/CERDO 400G · 93519110000</t>
        </is>
      </c>
      <c r="B81" t="inlineStr">
        <is>
          <t>93519110000</t>
        </is>
      </c>
      <c r="C81" t="n">
        <v>9</v>
      </c>
      <c r="D81" t="inlineStr">
        <is>
          <t>ERA</t>
        </is>
      </c>
    </row>
    <row r="82">
      <c r="A82" t="inlineStr">
        <is>
          <t>ERA SYBARITE LATA CACHORROS 400G · 93519090000</t>
        </is>
      </c>
      <c r="B82" t="inlineStr">
        <is>
          <t>93519090000</t>
        </is>
      </c>
      <c r="C82" t="n">
        <v>8</v>
      </c>
      <c r="D82" t="inlineStr">
        <is>
          <t>ERA</t>
        </is>
      </c>
    </row>
    <row r="83">
      <c r="A83" t="inlineStr">
        <is>
          <t>ERA SYBARITE LATAPOLLO/PESCADO 400G · 93519100000</t>
        </is>
      </c>
      <c r="B83" t="inlineStr">
        <is>
          <t>93519100000</t>
        </is>
      </c>
      <c r="C83" t="n">
        <v>2</v>
      </c>
      <c r="D83" t="inlineStr">
        <is>
          <t>ERA</t>
        </is>
      </c>
    </row>
    <row r="84">
      <c r="A84" t="inlineStr">
        <is>
          <t>ESBILAC LECHE EN POLVO 12 ONZ · 90311050000</t>
        </is>
      </c>
      <c r="B84" t="inlineStr">
        <is>
          <t>90311050000</t>
        </is>
      </c>
      <c r="C84" t="n">
        <v>12</v>
      </c>
      <c r="D84" t="inlineStr">
        <is>
          <t>ESBILAC</t>
        </is>
      </c>
    </row>
    <row r="85">
      <c r="A85" t="inlineStr">
        <is>
          <t>ESBILAC PAPILLA P CACHORROS 14 OZ. · 90312680000</t>
        </is>
      </c>
      <c r="B85" t="inlineStr">
        <is>
          <t>90312680000</t>
        </is>
      </c>
      <c r="C85" t="n">
        <v>12</v>
      </c>
      <c r="D85" t="inlineStr">
        <is>
          <t>ESBILAC</t>
        </is>
      </c>
    </row>
    <row r="86">
      <c r="A86" t="inlineStr">
        <is>
          <t>PA LECHE DE CABRA EN POLVO 150GM · 93519340000</t>
        </is>
      </c>
      <c r="B86" t="inlineStr">
        <is>
          <t>93519340000</t>
        </is>
      </c>
      <c r="C86" t="n">
        <v>6</v>
      </c>
      <c r="D86" t="inlineStr">
        <is>
          <t>ESBILAC</t>
        </is>
      </c>
    </row>
    <row r="87">
      <c r="A87" t="inlineStr">
        <is>
          <t>PA VITAM/MINERALES GEL P/GATO · 90330330000</t>
        </is>
      </c>
      <c r="B87" t="inlineStr">
        <is>
          <t>90330330000</t>
        </is>
      </c>
      <c r="C87" t="n">
        <v>2</v>
      </c>
      <c r="D87" t="inlineStr">
        <is>
          <t>ESBILAC</t>
        </is>
      </c>
    </row>
    <row r="88">
      <c r="A88" t="inlineStr">
        <is>
          <t>PA VITAMINA EN GEL CALORIAS P/PERRO · 90330290000</t>
        </is>
      </c>
      <c r="B88" t="inlineStr">
        <is>
          <t>90330290000</t>
        </is>
      </c>
      <c r="C88" t="n">
        <v>3</v>
      </c>
      <c r="D88" t="inlineStr">
        <is>
          <t>ESBILAC</t>
        </is>
      </c>
    </row>
    <row r="89">
      <c r="A89" t="inlineStr">
        <is>
          <t>PETLAC LECHE EN POLVO P/PERROS 10.5 · 93519360000</t>
        </is>
      </c>
      <c r="B89" t="inlineStr">
        <is>
          <t>93519360000</t>
        </is>
      </c>
      <c r="C89" t="n">
        <v>3</v>
      </c>
      <c r="D89" t="inlineStr">
        <is>
          <t>ESBILAC</t>
        </is>
      </c>
    </row>
    <row r="90">
      <c r="A90" t="inlineStr">
        <is>
          <t>EUK DOG LARGE ADULT  3 Kg (6.61 lbs) · 90018590000</t>
        </is>
      </c>
      <c r="B90" t="inlineStr">
        <is>
          <t>90018590000</t>
        </is>
      </c>
      <c r="C90" t="n">
        <v>1</v>
      </c>
      <c r="D90" t="inlineStr">
        <is>
          <t>EUKANUBA</t>
        </is>
      </c>
    </row>
    <row r="91">
      <c r="A91" t="inlineStr">
        <is>
          <t>EUK DOG SMALL ADULT  3 Kg (6.61 lbs) · 90018550000</t>
        </is>
      </c>
      <c r="B91" t="inlineStr">
        <is>
          <t>90018550000</t>
        </is>
      </c>
      <c r="C91" t="n">
        <v>2</v>
      </c>
      <c r="D91" t="inlineStr">
        <is>
          <t>EUKANUBA</t>
        </is>
      </c>
    </row>
    <row r="92">
      <c r="A92" t="inlineStr">
        <is>
          <t>EUK DOG SMALL PUPPY 3 Kg (6.61 lbs) · 90018470000</t>
        </is>
      </c>
      <c r="B92" t="inlineStr">
        <is>
          <t>90018470000</t>
        </is>
      </c>
      <c r="C92" t="n">
        <v>1</v>
      </c>
      <c r="D92" t="inlineStr">
        <is>
          <t>EUKANUBA</t>
        </is>
      </c>
    </row>
    <row r="93">
      <c r="A93" t="inlineStr">
        <is>
          <t>FANCY FEAST CAZUELA ATUN Y SALMON POUCH · 90038490000</t>
        </is>
      </c>
      <c r="B93" t="inlineStr">
        <is>
          <t>90038490000</t>
        </is>
      </c>
      <c r="C93" t="n">
        <v>12</v>
      </c>
      <c r="D93" t="inlineStr">
        <is>
          <t>FANCY FEAST</t>
        </is>
      </c>
    </row>
    <row r="94">
      <c r="A94" t="inlineStr">
        <is>
          <t>FANCY FEAST CHUNCKY POLLO 3 OZ · 93509350000</t>
        </is>
      </c>
      <c r="B94" t="inlineStr">
        <is>
          <t>93509350000</t>
        </is>
      </c>
      <c r="C94" t="n">
        <v>15</v>
      </c>
      <c r="D94" t="inlineStr">
        <is>
          <t>FANCY FEAST</t>
        </is>
      </c>
    </row>
    <row r="95">
      <c r="A95" t="inlineStr">
        <is>
          <t>FANCY FEAST PESCADO BLANCO Y TUNA 3OZ US · 90038500000</t>
        </is>
      </c>
      <c r="B95" t="inlineStr">
        <is>
          <t>90038500000</t>
        </is>
      </c>
      <c r="C95" t="n">
        <v>18</v>
      </c>
      <c r="D95" t="inlineStr">
        <is>
          <t>FANCY FEAST</t>
        </is>
      </c>
    </row>
    <row r="96">
      <c r="A96" t="inlineStr">
        <is>
          <t>FANCY FEAST TRUCHA 3 OZ · 93509370000</t>
        </is>
      </c>
      <c r="B96" t="inlineStr">
        <is>
          <t>93509370000</t>
        </is>
      </c>
      <c r="C96" t="n">
        <v>11</v>
      </c>
      <c r="D96" t="inlineStr">
        <is>
          <t>FANCY FEAST</t>
        </is>
      </c>
    </row>
    <row r="97">
      <c r="A97" t="inlineStr">
        <is>
          <t>FELIX CARNE 85G MX · 90038460000</t>
        </is>
      </c>
      <c r="B97" t="inlineStr">
        <is>
          <t>90038460000</t>
        </is>
      </c>
      <c r="C97" t="n">
        <v>16</v>
      </c>
      <c r="D97" t="inlineStr">
        <is>
          <t>FELIX</t>
        </is>
      </c>
    </row>
    <row r="98">
      <c r="A98" t="inlineStr">
        <is>
          <t>FELIX CARNE GATITOS 85G MX · 90038450000</t>
        </is>
      </c>
      <c r="B98" t="inlineStr">
        <is>
          <t>90038450000</t>
        </is>
      </c>
      <c r="C98" t="n">
        <v>17</v>
      </c>
      <c r="D98" t="inlineStr">
        <is>
          <t>FELIX</t>
        </is>
      </c>
    </row>
    <row r="99">
      <c r="A99" t="inlineStr">
        <is>
          <t>FELIX DELICIAS DE LA GRANJA ADULTO 1KG M · 90038530000</t>
        </is>
      </c>
      <c r="B99" t="inlineStr">
        <is>
          <t>90038530000</t>
        </is>
      </c>
      <c r="C99" t="n">
        <v>5</v>
      </c>
      <c r="D99" t="inlineStr">
        <is>
          <t>FELIX</t>
        </is>
      </c>
    </row>
    <row r="100">
      <c r="A100" t="inlineStr">
        <is>
          <t>FELIX DELICIAS DEL MAR ADULTO 1KG MX · 90038540000</t>
        </is>
      </c>
      <c r="B100" t="inlineStr">
        <is>
          <t>90038540000</t>
        </is>
      </c>
      <c r="C100" t="n">
        <v>7</v>
      </c>
      <c r="D100" t="inlineStr">
        <is>
          <t>FELIX</t>
        </is>
      </c>
    </row>
    <row r="101">
      <c r="A101" t="inlineStr">
        <is>
          <t>FELIX GATITOS 500G MX · 90038510000</t>
        </is>
      </c>
      <c r="B101" t="inlineStr">
        <is>
          <t>90038510000</t>
        </is>
      </c>
      <c r="C101" t="n">
        <v>6</v>
      </c>
      <c r="D101" t="inlineStr">
        <is>
          <t>FELIX</t>
        </is>
      </c>
    </row>
    <row r="102">
      <c r="A102" t="inlineStr">
        <is>
          <t>FELIX MEGAMIX ADULTO 1KG MX · 90038520000</t>
        </is>
      </c>
      <c r="B102" t="inlineStr">
        <is>
          <t>90038520000</t>
        </is>
      </c>
      <c r="C102" t="n">
        <v>7</v>
      </c>
      <c r="D102" t="inlineStr">
        <is>
          <t>FELIX</t>
        </is>
      </c>
    </row>
    <row r="103">
      <c r="A103" t="inlineStr">
        <is>
          <t>FELIX MEGAMIX ADULTO 500G MX · 90038550000</t>
        </is>
      </c>
      <c r="B103" t="inlineStr">
        <is>
          <t>90038550000</t>
        </is>
      </c>
      <c r="C103" t="n">
        <v>11</v>
      </c>
      <c r="D103" t="inlineStr">
        <is>
          <t>FELIX</t>
        </is>
      </c>
    </row>
    <row r="104">
      <c r="A104" t="inlineStr">
        <is>
          <t>FELIX PATE PAVO Y MENUDENCIAS 156G · 93502660000</t>
        </is>
      </c>
      <c r="B104" t="inlineStr">
        <is>
          <t>93502660000</t>
        </is>
      </c>
      <c r="C104" t="n">
        <v>22</v>
      </c>
      <c r="D104" t="inlineStr">
        <is>
          <t>FELIX</t>
        </is>
      </c>
    </row>
    <row r="105">
      <c r="A105" t="inlineStr">
        <is>
          <t>FELIX PATE PESCADO Y ATUN 156G · 93502640000</t>
        </is>
      </c>
      <c r="B105" t="inlineStr">
        <is>
          <t>93502640000</t>
        </is>
      </c>
      <c r="C105" t="n">
        <v>23</v>
      </c>
      <c r="D105" t="inlineStr">
        <is>
          <t>FELIX</t>
        </is>
      </c>
    </row>
    <row r="106">
      <c r="A106" t="inlineStr">
        <is>
          <t>FELIX PATE SALMON 156G · 93502650000</t>
        </is>
      </c>
      <c r="B106" t="inlineStr">
        <is>
          <t>93502650000</t>
        </is>
      </c>
      <c r="C106" t="n">
        <v>19</v>
      </c>
      <c r="D106" t="inlineStr">
        <is>
          <t>FELIX</t>
        </is>
      </c>
    </row>
    <row r="107">
      <c r="A107" t="inlineStr">
        <is>
          <t>FELIX POLLO 85G MX · 90038440000</t>
        </is>
      </c>
      <c r="B107" t="inlineStr">
        <is>
          <t>90038440000</t>
        </is>
      </c>
      <c r="C107" t="n">
        <v>24</v>
      </c>
      <c r="D107" t="inlineStr">
        <is>
          <t>FELIX</t>
        </is>
      </c>
    </row>
    <row r="108">
      <c r="A108" t="inlineStr">
        <is>
          <t>SEM ALPISTE  1 LB · 90426180000</t>
        </is>
      </c>
      <c r="B108" t="inlineStr">
        <is>
          <t>90426180000</t>
        </is>
      </c>
      <c r="C108" t="n">
        <v>4</v>
      </c>
      <c r="D108" t="inlineStr">
        <is>
          <t>GENÉRICO (reempaque)</t>
        </is>
      </c>
    </row>
    <row r="109">
      <c r="A109" t="inlineStr">
        <is>
          <t>SEMILLA DE GIRASOL 2 LB · 90402150000</t>
        </is>
      </c>
      <c r="B109" t="inlineStr">
        <is>
          <t>90402150000</t>
        </is>
      </c>
      <c r="C109" t="n">
        <v>3</v>
      </c>
      <c r="D109" t="inlineStr">
        <is>
          <t>GENÉRICO (reempaque)</t>
        </is>
      </c>
    </row>
    <row r="110">
      <c r="A110" t="inlineStr">
        <is>
          <t>SEMILLAS DE GIRASOL JUMBO 454GR · 90426190000</t>
        </is>
      </c>
      <c r="B110" t="inlineStr">
        <is>
          <t>90426190000</t>
        </is>
      </c>
      <c r="C110" t="n">
        <v>35</v>
      </c>
      <c r="D110" t="inlineStr">
        <is>
          <t>GENÉRICO (reempaque)</t>
        </is>
      </c>
    </row>
    <row r="111">
      <c r="A111" t="inlineStr">
        <is>
          <t>SEMILLAS DE GIRASOL JUMBO 5 LB · 90426200000</t>
        </is>
      </c>
      <c r="B111" t="inlineStr">
        <is>
          <t>90426200000</t>
        </is>
      </c>
      <c r="C111" t="n">
        <v>8</v>
      </c>
      <c r="D111" t="inlineStr">
        <is>
          <t>GENÉRICO (reempaque)</t>
        </is>
      </c>
    </row>
    <row r="112">
      <c r="A112" t="inlineStr">
        <is>
          <t>SEMILLAS DE MIJO VARIADAS 1LB · 93500750000</t>
        </is>
      </c>
      <c r="B112" t="inlineStr">
        <is>
          <t>93500750000</t>
        </is>
      </c>
      <c r="C112" t="n">
        <v>10</v>
      </c>
      <c r="D112" t="inlineStr">
        <is>
          <t>GENÉRICO (reempaque)</t>
        </is>
      </c>
    </row>
    <row r="113">
      <c r="A113" t="inlineStr">
        <is>
          <t>GM GF PERRO COUNTRY NATURALS PAVO 4LB · 93500000109</t>
        </is>
      </c>
      <c r="B113" t="inlineStr">
        <is>
          <t>93500000109</t>
        </is>
      </c>
      <c r="C113" t="n">
        <v>6</v>
      </c>
      <c r="D113" t="inlineStr">
        <is>
          <t>GRANDMA MAE'S</t>
        </is>
      </c>
    </row>
    <row r="114">
      <c r="A114" t="inlineStr">
        <is>
          <t>GM GF PERRO COUNTRY NATURALS PESCADO 4LB · 93500000126</t>
        </is>
      </c>
      <c r="B114" t="inlineStr">
        <is>
          <t>93500000126</t>
        </is>
      </c>
      <c r="C114" t="n">
        <v>6</v>
      </c>
      <c r="D114" t="inlineStr">
        <is>
          <t>GRANDMA MAE'S</t>
        </is>
      </c>
    </row>
    <row r="115">
      <c r="A115" t="inlineStr">
        <is>
          <t>HIGGINS SUNBURST ALIM P CONEJOS 3LB · 93510440000</t>
        </is>
      </c>
      <c r="B115" t="inlineStr">
        <is>
          <t>93510440000</t>
        </is>
      </c>
      <c r="C115" t="n">
        <v>6</v>
      </c>
      <c r="D115" t="inlineStr">
        <is>
          <t>HIGGINS</t>
        </is>
      </c>
    </row>
    <row r="116">
      <c r="A116" t="inlineStr">
        <is>
          <t>SD ADULTO 1-6 BOCADOS PQNOS 4,4 LB · 93509790001</t>
        </is>
      </c>
      <c r="B116" t="inlineStr">
        <is>
          <t>93509790001</t>
        </is>
      </c>
      <c r="C116" t="n">
        <v>3</v>
      </c>
      <c r="D116" t="inlineStr">
        <is>
          <t>HILL'S</t>
        </is>
      </c>
    </row>
    <row r="117">
      <c r="A117" t="inlineStr">
        <is>
          <t>D KT FDPH SNACK CANTO P/CANARIOS FINC · 93506950000</t>
        </is>
      </c>
      <c r="B117" t="inlineStr">
        <is>
          <t>93506950000</t>
        </is>
      </c>
      <c r="C117" t="n">
        <v>1</v>
      </c>
      <c r="D117" t="inlineStr">
        <is>
          <t>KAYTEE</t>
        </is>
      </c>
    </row>
    <row r="118">
      <c r="A118" t="inlineStr">
        <is>
          <t>KT ALIM. EXACT P PICHONES 18OZ. · 90404930000</t>
        </is>
      </c>
      <c r="B118" t="inlineStr">
        <is>
          <t>90404930000</t>
        </is>
      </c>
      <c r="C118" t="n">
        <v>3</v>
      </c>
      <c r="D118" t="inlineStr">
        <is>
          <t>KAYTEE</t>
        </is>
      </c>
    </row>
    <row r="119">
      <c r="A119" t="inlineStr">
        <is>
          <t>KT ALIM. FIESTA MAX CONEJO 3.5LB · 90402840000</t>
        </is>
      </c>
      <c r="B119" t="inlineStr">
        <is>
          <t>90402840000</t>
        </is>
      </c>
      <c r="C119" t="n">
        <v>13</v>
      </c>
      <c r="D119" t="inlineStr">
        <is>
          <t>KAYTEE</t>
        </is>
      </c>
    </row>
    <row r="120">
      <c r="A120" t="inlineStr">
        <is>
          <t>KT ALIM. FORTI DIET CONEJO 10 LB · 90407390000</t>
        </is>
      </c>
      <c r="B120" t="inlineStr">
        <is>
          <t>90407390000</t>
        </is>
      </c>
      <c r="C120" t="n">
        <v>4</v>
      </c>
      <c r="D120" t="inlineStr">
        <is>
          <t>KAYTEE</t>
        </is>
      </c>
    </row>
    <row r="121">
      <c r="A121" t="inlineStr">
        <is>
          <t>KT ALIM. FORTI DIET CONEJO 5 LB · 90405030000</t>
        </is>
      </c>
      <c r="B121" t="inlineStr">
        <is>
          <t>90405030000</t>
        </is>
      </c>
      <c r="C121" t="n">
        <v>3</v>
      </c>
      <c r="D121" t="inlineStr">
        <is>
          <t>KAYTEE</t>
        </is>
      </c>
    </row>
    <row r="122">
      <c r="A122" t="inlineStr">
        <is>
          <t>KT ALIM. SUPREME CONEJO 10LB · 90407440000</t>
        </is>
      </c>
      <c r="B122" t="inlineStr">
        <is>
          <t>90407440000</t>
        </is>
      </c>
      <c r="C122" t="n">
        <v>5</v>
      </c>
      <c r="D122" t="inlineStr">
        <is>
          <t>KAYTEE</t>
        </is>
      </c>
    </row>
    <row r="123">
      <c r="A123" t="inlineStr">
        <is>
          <t>KT ALIM. SUPREME CONEJO 5 LB · 90405210000</t>
        </is>
      </c>
      <c r="B123" t="inlineStr">
        <is>
          <t>90405210000</t>
        </is>
      </c>
      <c r="C123" t="n">
        <v>7</v>
      </c>
      <c r="D123" t="inlineStr">
        <is>
          <t>KAYTEE</t>
        </is>
      </c>
    </row>
    <row r="124">
      <c r="A124" t="inlineStr">
        <is>
          <t>KT ALIMENTO PARA KOI 3LB · 93500000266</t>
        </is>
      </c>
      <c r="B124" t="inlineStr">
        <is>
          <t>93500000266</t>
        </is>
      </c>
      <c r="C124" t="n">
        <v>18</v>
      </c>
      <c r="D124" t="inlineStr">
        <is>
          <t>KAYTEE</t>
        </is>
      </c>
    </row>
    <row r="125">
      <c r="A125" t="inlineStr">
        <is>
          <t>KT BARRA DE SEMILLA P PERICO 7 OZ · 90406800000</t>
        </is>
      </c>
      <c r="B125" t="inlineStr">
        <is>
          <t>90406800000</t>
        </is>
      </c>
      <c r="C125" t="n">
        <v>1</v>
      </c>
      <c r="D125" t="inlineStr">
        <is>
          <t>KAYTEE</t>
        </is>
      </c>
    </row>
    <row r="126">
      <c r="A126" t="inlineStr">
        <is>
          <t>KT FORTI DIET HAMSTER/GERBIL 3LB · 90404990000</t>
        </is>
      </c>
      <c r="B126" t="inlineStr">
        <is>
          <t>90404990000</t>
        </is>
      </c>
      <c r="C126" t="n">
        <v>2</v>
      </c>
      <c r="D126" t="inlineStr">
        <is>
          <t>KAYTEE</t>
        </is>
      </c>
    </row>
    <row r="127">
      <c r="A127" t="inlineStr">
        <is>
          <t>KT FORTI DIET LORO 5 LB · 90407230000</t>
        </is>
      </c>
      <c r="B127" t="inlineStr">
        <is>
          <t>90407230000</t>
        </is>
      </c>
      <c r="C127" t="n">
        <v>1</v>
      </c>
      <c r="D127" t="inlineStr">
        <is>
          <t>KAYTEE</t>
        </is>
      </c>
    </row>
    <row r="128">
      <c r="A128" t="inlineStr">
        <is>
          <t>KT FORTI DIET PERICO 2 LB · 90404800000</t>
        </is>
      </c>
      <c r="B128" t="inlineStr">
        <is>
          <t>90404800000</t>
        </is>
      </c>
      <c r="C128" t="n">
        <v>1</v>
      </c>
      <c r="D128" t="inlineStr">
        <is>
          <t>KAYTEE</t>
        </is>
      </c>
    </row>
    <row r="129">
      <c r="A129" t="inlineStr">
        <is>
          <t>KT SNACK NATURAL P/CONEJOS Y COBAYO · 93517210000</t>
        </is>
      </c>
      <c r="B129" t="inlineStr">
        <is>
          <t>93517210000</t>
        </is>
      </c>
      <c r="C129" t="n">
        <v>4</v>
      </c>
      <c r="D129" t="inlineStr">
        <is>
          <t>KAYTEE</t>
        </is>
      </c>
    </row>
    <row r="130">
      <c r="A130" t="inlineStr">
        <is>
          <t>KT SUPREME PALOMA 6/5LB · 93500800000</t>
        </is>
      </c>
      <c r="B130" t="inlineStr">
        <is>
          <t>93500800000</t>
        </is>
      </c>
      <c r="C130" t="n">
        <v>6</v>
      </c>
      <c r="D130" t="inlineStr">
        <is>
          <t>KAYTEE</t>
        </is>
      </c>
    </row>
    <row r="131">
      <c r="A131" t="inlineStr">
        <is>
          <t>KORDON VITAMINAS P CONEJO 2 OZ · 90720780000</t>
        </is>
      </c>
      <c r="B131" t="inlineStr">
        <is>
          <t>90720780000</t>
        </is>
      </c>
      <c r="C131" t="n">
        <v>2</v>
      </c>
      <c r="D131" t="inlineStr">
        <is>
          <t>KORDON</t>
        </is>
      </c>
    </row>
    <row r="132">
      <c r="A132" t="inlineStr">
        <is>
          <t>MIMADOS ADULTO 18KG · 90409680000</t>
        </is>
      </c>
      <c r="B132" t="inlineStr">
        <is>
          <t>90409680000</t>
        </is>
      </c>
      <c r="C132" t="n">
        <v>17</v>
      </c>
      <c r="D132" t="inlineStr">
        <is>
          <t>MIMADOS</t>
        </is>
      </c>
    </row>
    <row r="133">
      <c r="A133" t="inlineStr">
        <is>
          <t>MIMADOS ADULTO 2KG · 90400360000</t>
        </is>
      </c>
      <c r="B133" t="inlineStr">
        <is>
          <t>90400360000</t>
        </is>
      </c>
      <c r="C133" t="n">
        <v>3</v>
      </c>
      <c r="D133" t="inlineStr">
        <is>
          <t>MIMADOS</t>
        </is>
      </c>
    </row>
    <row r="134">
      <c r="A134" t="inlineStr">
        <is>
          <t>MIMADOS ADULTOS 4KG · 93513340000</t>
        </is>
      </c>
      <c r="B134" t="inlineStr">
        <is>
          <t>93513340000</t>
        </is>
      </c>
      <c r="C134" t="n">
        <v>3</v>
      </c>
      <c r="D134" t="inlineStr">
        <is>
          <t>MIMADOS</t>
        </is>
      </c>
    </row>
    <row r="135">
      <c r="A135" t="inlineStr">
        <is>
          <t>MIMADOS CACHORRO  2KG · 90400340000</t>
        </is>
      </c>
      <c r="B135" t="inlineStr">
        <is>
          <t>90400340000</t>
        </is>
      </c>
      <c r="C135" t="n">
        <v>4</v>
      </c>
      <c r="D135" t="inlineStr">
        <is>
          <t>MIMADOS</t>
        </is>
      </c>
    </row>
    <row r="136">
      <c r="A136" t="inlineStr">
        <is>
          <t>MIMADOS CACHORROS 4KG · 93513280000</t>
        </is>
      </c>
      <c r="B136" t="inlineStr">
        <is>
          <t>93513280000</t>
        </is>
      </c>
      <c r="C136" t="n">
        <v>3</v>
      </c>
      <c r="D136" t="inlineStr">
        <is>
          <t>MIMADOS</t>
        </is>
      </c>
    </row>
    <row r="137">
      <c r="A137" t="inlineStr">
        <is>
          <t>MIRRAPEL CACHORROS 236 ML · 90322670000</t>
        </is>
      </c>
      <c r="B137" t="inlineStr">
        <is>
          <t>90322670000</t>
        </is>
      </c>
      <c r="C137" t="n">
        <v>2</v>
      </c>
      <c r="D137" t="inlineStr">
        <is>
          <t>MIRRAPEL</t>
        </is>
      </c>
    </row>
    <row r="138">
      <c r="A138" t="inlineStr">
        <is>
          <t>MIRRAPEL OLEOSO 120 ML · 90322650000</t>
        </is>
      </c>
      <c r="B138" t="inlineStr">
        <is>
          <t>90322650000</t>
        </is>
      </c>
      <c r="C138" t="n">
        <v>3</v>
      </c>
      <c r="D138" t="inlineStr">
        <is>
          <t>MIRRAPEL</t>
        </is>
      </c>
    </row>
    <row r="139">
      <c r="A139" t="inlineStr">
        <is>
          <t>MIRRAPEL PET POLVO 300 g · 90301720000</t>
        </is>
      </c>
      <c r="B139" t="inlineStr">
        <is>
          <t>90301720000</t>
        </is>
      </c>
      <c r="C139" t="n">
        <v>5</v>
      </c>
      <c r="D139" t="inlineStr">
        <is>
          <t>MIRRAPEL</t>
        </is>
      </c>
    </row>
    <row r="140">
      <c r="A140" t="inlineStr">
        <is>
          <t>SOLLA NUTRECAN ADULT RZ PEQUENA 2KG · 93510820000</t>
        </is>
      </c>
      <c r="B140" t="inlineStr">
        <is>
          <t>93510820000</t>
        </is>
      </c>
      <c r="C140" t="n">
        <v>12</v>
      </c>
      <c r="D140" t="inlineStr">
        <is>
          <t>NUTRECAN</t>
        </is>
      </c>
    </row>
    <row r="141">
      <c r="A141" t="inlineStr">
        <is>
          <t>SOLLA NUTRECAN ADULT RZ PEQUENA 800 · 93510810000</t>
        </is>
      </c>
      <c r="B141" t="inlineStr">
        <is>
          <t>93510810000</t>
        </is>
      </c>
      <c r="C141" t="n">
        <v>120</v>
      </c>
      <c r="D141" t="inlineStr">
        <is>
          <t>NUTRECAN</t>
        </is>
      </c>
    </row>
    <row r="142">
      <c r="A142" t="inlineStr">
        <is>
          <t>SOLLA NUTRECAN ADULTO RM Y RG 800GR · 93505910000</t>
        </is>
      </c>
      <c r="B142" t="inlineStr">
        <is>
          <t>93505910000</t>
        </is>
      </c>
      <c r="C142" t="n">
        <v>153</v>
      </c>
      <c r="D142" t="inlineStr">
        <is>
          <t>NUTRECAN</t>
        </is>
      </c>
    </row>
    <row r="143">
      <c r="A143" t="inlineStr">
        <is>
          <t>SOLLA NUTRECAN ADULTOS RM Y RG 16KG · 93505950000</t>
        </is>
      </c>
      <c r="B143" t="inlineStr">
        <is>
          <t>93505950000</t>
        </is>
      </c>
      <c r="C143" t="n">
        <v>4</v>
      </c>
      <c r="D143" t="inlineStr">
        <is>
          <t>NUTRECAN</t>
        </is>
      </c>
    </row>
    <row r="144">
      <c r="A144" t="inlineStr">
        <is>
          <t>SOLLA NUTRECAN ADULTOS RM Y RG 25KG · 93505960000</t>
        </is>
      </c>
      <c r="B144" t="inlineStr">
        <is>
          <t>93505960000</t>
        </is>
      </c>
      <c r="C144" t="n">
        <v>5</v>
      </c>
      <c r="D144" t="inlineStr">
        <is>
          <t>NUTRECAN</t>
        </is>
      </c>
    </row>
    <row r="145">
      <c r="A145" t="inlineStr">
        <is>
          <t>SOLLA NUTRECAN ADULTOS RM Y RG 2KG · 93505920000</t>
        </is>
      </c>
      <c r="B145" t="inlineStr">
        <is>
          <t>93505920000</t>
        </is>
      </c>
      <c r="C145" t="n">
        <v>3</v>
      </c>
      <c r="D145" t="inlineStr">
        <is>
          <t>NUTRECAN</t>
        </is>
      </c>
    </row>
    <row r="146">
      <c r="A146" t="inlineStr">
        <is>
          <t>SOLLA NUTRECAN ADULTOS RM Y RG 4KG · 93505930000</t>
        </is>
      </c>
      <c r="B146" t="inlineStr">
        <is>
          <t>93505930000</t>
        </is>
      </c>
      <c r="C146" t="n">
        <v>4</v>
      </c>
      <c r="D146" t="inlineStr">
        <is>
          <t>NUTRECAN</t>
        </is>
      </c>
    </row>
    <row r="147">
      <c r="A147" t="inlineStr">
        <is>
          <t>SOLLA NUTRECAN ADULTOS RM Y RG 8KG · 93505940000</t>
        </is>
      </c>
      <c r="B147" t="inlineStr">
        <is>
          <t>93505940000</t>
        </is>
      </c>
      <c r="C147" t="n">
        <v>1</v>
      </c>
      <c r="D147" t="inlineStr">
        <is>
          <t>NUTRECAN</t>
        </is>
      </c>
    </row>
    <row r="148">
      <c r="A148" t="inlineStr">
        <is>
          <t>SOLLA NUTRECAN BABIES 0.8 KG · 90410720000</t>
        </is>
      </c>
      <c r="B148" t="inlineStr">
        <is>
          <t>90410720000</t>
        </is>
      </c>
      <c r="C148" t="n">
        <v>68</v>
      </c>
      <c r="D148" t="inlineStr">
        <is>
          <t>NUTRECAN</t>
        </is>
      </c>
    </row>
    <row r="149">
      <c r="A149" t="inlineStr">
        <is>
          <t>SOLLA NUTRECAN BABIES 2 KG · 90410730000</t>
        </is>
      </c>
      <c r="B149" t="inlineStr">
        <is>
          <t>90410730000</t>
        </is>
      </c>
      <c r="C149" t="n">
        <v>36</v>
      </c>
      <c r="D149" t="inlineStr">
        <is>
          <t>NUTRECAN</t>
        </is>
      </c>
    </row>
    <row r="150">
      <c r="A150" t="inlineStr">
        <is>
          <t>SOLLA NUTRECAN BABIES 8 KG · 90410970000</t>
        </is>
      </c>
      <c r="B150" t="inlineStr">
        <is>
          <t>90410970000</t>
        </is>
      </c>
      <c r="C150" t="n">
        <v>1</v>
      </c>
      <c r="D150" t="inlineStr">
        <is>
          <t>NUTRECAN</t>
        </is>
      </c>
    </row>
    <row r="151">
      <c r="A151" t="inlineStr">
        <is>
          <t>SOLLA NUTRECAN CAMPO 0.8KG · 90410800000</t>
        </is>
      </c>
      <c r="B151" t="inlineStr">
        <is>
          <t>90410800000</t>
        </is>
      </c>
      <c r="C151" t="n">
        <v>49</v>
      </c>
      <c r="D151" t="inlineStr">
        <is>
          <t>NUTRECAN</t>
        </is>
      </c>
    </row>
    <row r="152">
      <c r="A152" t="inlineStr">
        <is>
          <t>SOLLA NUTRECAN CAMPO 16KG · 90410820000</t>
        </is>
      </c>
      <c r="B152" t="inlineStr">
        <is>
          <t>90410820000</t>
        </is>
      </c>
      <c r="C152" t="n">
        <v>1</v>
      </c>
      <c r="D152" t="inlineStr">
        <is>
          <t>NUTRECAN</t>
        </is>
      </c>
    </row>
    <row r="153">
      <c r="A153" t="inlineStr">
        <is>
          <t>SOLLA NUTRECAN CAMPO 25KG · 90410830000</t>
        </is>
      </c>
      <c r="B153" t="inlineStr">
        <is>
          <t>90410830000</t>
        </is>
      </c>
      <c r="C153" t="n">
        <v>3</v>
      </c>
      <c r="D153" t="inlineStr">
        <is>
          <t>NUTRECAN</t>
        </is>
      </c>
    </row>
    <row r="154">
      <c r="A154" t="inlineStr">
        <is>
          <t>SOLLA NUTRECAN CAMPO 2KG · 90415960000</t>
        </is>
      </c>
      <c r="B154" t="inlineStr">
        <is>
          <t>90415960000</t>
        </is>
      </c>
      <c r="C154" t="n">
        <v>4</v>
      </c>
      <c r="D154" t="inlineStr">
        <is>
          <t>NUTRECAN</t>
        </is>
      </c>
    </row>
    <row r="155">
      <c r="A155" t="inlineStr">
        <is>
          <t>SOLLA NUTRECAN CAMPO 8KG · 90410810000</t>
        </is>
      </c>
      <c r="B155" t="inlineStr">
        <is>
          <t>90410810000</t>
        </is>
      </c>
      <c r="C155" t="n">
        <v>5</v>
      </c>
      <c r="D155" t="inlineStr">
        <is>
          <t>NUTRECAN</t>
        </is>
      </c>
    </row>
    <row r="156">
      <c r="A156" t="inlineStr">
        <is>
          <t>SOLLA NUTRECAN LIGHT 2KG · 93510840000</t>
        </is>
      </c>
      <c r="B156" t="inlineStr">
        <is>
          <t>93510840000</t>
        </is>
      </c>
      <c r="C156" t="n">
        <v>3</v>
      </c>
      <c r="D156" t="inlineStr">
        <is>
          <t>NUTRECAN</t>
        </is>
      </c>
    </row>
    <row r="157">
      <c r="A157" t="inlineStr">
        <is>
          <t>SOLLA NUTRECAN LIGHT 800GR · 93510830000</t>
        </is>
      </c>
      <c r="B157" t="inlineStr">
        <is>
          <t>93510830000</t>
        </is>
      </c>
      <c r="C157" t="n">
        <v>28</v>
      </c>
      <c r="D157" t="inlineStr">
        <is>
          <t>NUTRECAN</t>
        </is>
      </c>
    </row>
    <row r="158">
      <c r="A158" t="inlineStr">
        <is>
          <t>D NV TABLET PERR SENIOR MALESTAR/DOL · 90328760000</t>
        </is>
      </c>
      <c r="B158" t="inlineStr">
        <is>
          <t>90328760000</t>
        </is>
      </c>
      <c r="C158" t="n">
        <v>3</v>
      </c>
      <c r="D158" t="inlineStr">
        <is>
          <t>NUTRI-VET</t>
        </is>
      </c>
    </row>
    <row r="159">
      <c r="A159" t="inlineStr">
        <is>
          <t>D NV VITAMINA P/ TRACTO DIGESTIVO 60U · 90328340000</t>
        </is>
      </c>
      <c r="B159" t="inlineStr">
        <is>
          <t>90328340000</t>
        </is>
      </c>
      <c r="C159" t="n">
        <v>3</v>
      </c>
      <c r="D159" t="inlineStr">
        <is>
          <t>NUTRI-VET</t>
        </is>
      </c>
    </row>
    <row r="160">
      <c r="A160" t="inlineStr">
        <is>
          <t>D NV VITAMINAS LEVADURA/AJO 100UD · 90327410000</t>
        </is>
      </c>
      <c r="B160" t="inlineStr">
        <is>
          <t>90327410000</t>
        </is>
      </c>
      <c r="C160" t="n">
        <v>1</v>
      </c>
      <c r="D160" t="inlineStr">
        <is>
          <t>NUTRI-VET</t>
        </is>
      </c>
    </row>
    <row r="161">
      <c r="A161" t="inlineStr">
        <is>
          <t>NV SENIOR PAST/ARTICULACIONES 120UD · 90328780000</t>
        </is>
      </c>
      <c r="B161" t="inlineStr">
        <is>
          <t>90328780000</t>
        </is>
      </c>
      <c r="C161" t="n">
        <v>1</v>
      </c>
      <c r="D161" t="inlineStr">
        <is>
          <t>NUTRI-VET</t>
        </is>
      </c>
    </row>
    <row r="162">
      <c r="A162" t="inlineStr">
        <is>
          <t>NV TRANQUILIZANTE MAST P/PERRO 70 · 90328740000</t>
        </is>
      </c>
      <c r="B162" t="inlineStr">
        <is>
          <t>90328740000</t>
        </is>
      </c>
      <c r="C162" t="n">
        <v>2</v>
      </c>
      <c r="D162" t="inlineStr">
        <is>
          <t>NUTRI-VET</t>
        </is>
      </c>
    </row>
    <row r="163">
      <c r="A163" t="inlineStr">
        <is>
          <t>NV VITAMINA MAST PERRO SENIOR 60U · 90328860000</t>
        </is>
      </c>
      <c r="B163" t="inlineStr">
        <is>
          <t>90328860000</t>
        </is>
      </c>
      <c r="C163" t="n">
        <v>3</v>
      </c>
      <c r="D163" t="inlineStr">
        <is>
          <t>NUTRI-VET</t>
        </is>
      </c>
    </row>
    <row r="164">
      <c r="A164" t="inlineStr">
        <is>
          <t>NV VITAMINAS MAST P/PERROS 60 · 90327290000</t>
        </is>
      </c>
      <c r="B164" t="inlineStr">
        <is>
          <t>90327290000</t>
        </is>
      </c>
      <c r="C164" t="n">
        <v>2</v>
      </c>
      <c r="D164" t="inlineStr">
        <is>
          <t>NUTRI-VET</t>
        </is>
      </c>
    </row>
    <row r="165">
      <c r="A165" t="inlineStr">
        <is>
          <t>NS CACHORRO RZ GDE GF 4LB · 93500000458</t>
        </is>
      </c>
      <c r="B165" t="inlineStr">
        <is>
          <t>93500000458</t>
        </is>
      </c>
      <c r="C165" t="n">
        <v>2</v>
      </c>
      <c r="D165" t="inlineStr">
        <is>
          <t>NUTRISOURCE</t>
        </is>
      </c>
    </row>
    <row r="166">
      <c r="A166" t="inlineStr">
        <is>
          <t>NS CACHORRO RZ GDE POLLO Y ARROZ 4LB · 93500000429</t>
        </is>
      </c>
      <c r="B166" t="inlineStr">
        <is>
          <t>93500000429</t>
        </is>
      </c>
      <c r="C166" t="n">
        <v>4</v>
      </c>
      <c r="D166" t="inlineStr">
        <is>
          <t>NUTRISOURCE</t>
        </is>
      </c>
    </row>
    <row r="167">
      <c r="A167" t="inlineStr">
        <is>
          <t>NS CACHORRO RZ PQNA Y MED GF 4LB · 93500000461</t>
        </is>
      </c>
      <c r="B167" t="inlineStr">
        <is>
          <t>93500000461</t>
        </is>
      </c>
      <c r="C167" t="n">
        <v>3</v>
      </c>
      <c r="D167" t="inlineStr">
        <is>
          <t>NUTRISOURCE</t>
        </is>
      </c>
    </row>
    <row r="168">
      <c r="A168" t="inlineStr">
        <is>
          <t>NS CHOICE CACHORR POLLO CEBADA 5LB · 90034090000</t>
        </is>
      </c>
      <c r="B168" t="inlineStr">
        <is>
          <t>90034090000</t>
        </is>
      </c>
      <c r="C168" t="n">
        <v>8</v>
      </c>
      <c r="D168" t="inlineStr">
        <is>
          <t>NUTRISOURCE</t>
        </is>
      </c>
    </row>
    <row r="169">
      <c r="A169" t="inlineStr">
        <is>
          <t>NS CHOICE CACHORR POLLO CEBADA 5OZ MUEST · 90034110000</t>
        </is>
      </c>
      <c r="B169" t="inlineStr">
        <is>
          <t>90034110000</t>
        </is>
      </c>
      <c r="C169" t="n">
        <v>12</v>
      </c>
      <c r="D169" t="inlineStr">
        <is>
          <t>NUTRISOURCE</t>
        </is>
      </c>
    </row>
    <row r="170">
      <c r="A170" t="inlineStr">
        <is>
          <t>NS CHOICE CARNE Y CEBADA 5LB · 90033960000</t>
        </is>
      </c>
      <c r="B170" t="inlineStr">
        <is>
          <t>90033960000</t>
        </is>
      </c>
      <c r="C170" t="n">
        <v>8</v>
      </c>
      <c r="D170" t="inlineStr">
        <is>
          <t>NUTRISOURCE</t>
        </is>
      </c>
    </row>
    <row r="171">
      <c r="A171" t="inlineStr">
        <is>
          <t>NS CHOICE CARNE Y CEBADA 5OZ MUESTRA · 90033980000</t>
        </is>
      </c>
      <c r="B171" t="inlineStr">
        <is>
          <t>90033980000</t>
        </is>
      </c>
      <c r="C171" t="n">
        <v>12</v>
      </c>
      <c r="D171" t="inlineStr">
        <is>
          <t>NUTRISOURCE</t>
        </is>
      </c>
    </row>
    <row r="172">
      <c r="A172" t="inlineStr">
        <is>
          <t>NS CHOICE PAVO Y CEBADA 5LB · 90034130000</t>
        </is>
      </c>
      <c r="B172" t="inlineStr">
        <is>
          <t>90034130000</t>
        </is>
      </c>
      <c r="C172" t="n">
        <v>8</v>
      </c>
      <c r="D172" t="inlineStr">
        <is>
          <t>NUTRISOURCE</t>
        </is>
      </c>
    </row>
    <row r="173">
      <c r="A173" t="inlineStr">
        <is>
          <t>NS CHOICE PESCADO Y ARROZ 40LB · 90034150000</t>
        </is>
      </c>
      <c r="B173" t="inlineStr">
        <is>
          <t>90034150000</t>
        </is>
      </c>
      <c r="C173" t="n">
        <v>2</v>
      </c>
      <c r="D173" t="inlineStr">
        <is>
          <t>NUTRISOURCE</t>
        </is>
      </c>
    </row>
    <row r="174">
      <c r="A174" t="inlineStr">
        <is>
          <t>NS CHOICE PESCADO Y ARROZ 5LB · 90034160000</t>
        </is>
      </c>
      <c r="B174" t="inlineStr">
        <is>
          <t>90034160000</t>
        </is>
      </c>
      <c r="C174" t="n">
        <v>8</v>
      </c>
      <c r="D174" t="inlineStr">
        <is>
          <t>NUTRISOURCE</t>
        </is>
      </c>
    </row>
    <row r="175">
      <c r="A175" t="inlineStr">
        <is>
          <t>NS CHOICE POLLO Y CEBADA 5LB · 90033990000</t>
        </is>
      </c>
      <c r="B175" t="inlineStr">
        <is>
          <t>90033990000</t>
        </is>
      </c>
      <c r="C175" t="n">
        <v>8</v>
      </c>
      <c r="D175" t="inlineStr">
        <is>
          <t>NUTRISOURCE</t>
        </is>
      </c>
    </row>
    <row r="176">
      <c r="A176" t="inlineStr">
        <is>
          <t>NS CHOICE POLLO Y CEBADA 5OZ MUESTRA · 90034020000</t>
        </is>
      </c>
      <c r="B176" t="inlineStr">
        <is>
          <t>90034020000</t>
        </is>
      </c>
      <c r="C176" t="n">
        <v>12</v>
      </c>
      <c r="D176" t="inlineStr">
        <is>
          <t>NUTRISOURCE</t>
        </is>
      </c>
    </row>
    <row r="177">
      <c r="A177" t="inlineStr">
        <is>
          <t>NS CHOICE R GDE POLLO Y CEBADA 5OZ MUEST · 90034060000</t>
        </is>
      </c>
      <c r="B177" t="inlineStr">
        <is>
          <t>90034060000</t>
        </is>
      </c>
      <c r="C177" t="n">
        <v>12</v>
      </c>
      <c r="D177" t="inlineStr">
        <is>
          <t>NUTRISOURCE</t>
        </is>
      </c>
    </row>
    <row r="178">
      <c r="A178" t="inlineStr">
        <is>
          <t>NS CHOICE SNACK GRILLERS CARNE 12OZ · 90034210000</t>
        </is>
      </c>
      <c r="B178" t="inlineStr">
        <is>
          <t>90034210000</t>
        </is>
      </c>
      <c r="C178" t="n">
        <v>5</v>
      </c>
      <c r="D178" t="inlineStr">
        <is>
          <t>NUTRISOURCE</t>
        </is>
      </c>
    </row>
    <row r="179">
      <c r="A179" t="inlineStr">
        <is>
          <t>NS CHOICE SNACK GRILLERS PAVO 12OZ · 90034250000</t>
        </is>
      </c>
      <c r="B179" t="inlineStr">
        <is>
          <t>90034250000</t>
        </is>
      </c>
      <c r="C179" t="n">
        <v>5</v>
      </c>
      <c r="D179" t="inlineStr">
        <is>
          <t>NUTRISOURCE</t>
        </is>
      </c>
    </row>
    <row r="180">
      <c r="A180" t="inlineStr">
        <is>
          <t>NS CHOICE SNACK GRILLERS POLLO 12OZ · 90034230000</t>
        </is>
      </c>
      <c r="B180" t="inlineStr">
        <is>
          <t>90034230000</t>
        </is>
      </c>
      <c r="C180" t="n">
        <v>6</v>
      </c>
      <c r="D180" t="inlineStr">
        <is>
          <t>NUTRISOURCE</t>
        </is>
      </c>
    </row>
    <row r="181">
      <c r="A181" t="inlineStr">
        <is>
          <t>NS GATO Y GATITO POLLO SALMON HIGADO 4 · 93500000479</t>
        </is>
      </c>
      <c r="B181" t="inlineStr">
        <is>
          <t>93500000479</t>
        </is>
      </c>
      <c r="C181" t="n">
        <v>4</v>
      </c>
      <c r="D181" t="inlineStr">
        <is>
          <t>NUTRISOURCE</t>
        </is>
      </c>
    </row>
    <row r="182">
      <c r="A182" t="inlineStr">
        <is>
          <t>NS GATO Y GATITO POLLO Y ARROZ 4LB · 93500000477</t>
        </is>
      </c>
      <c r="B182" t="inlineStr">
        <is>
          <t>93500000477</t>
        </is>
      </c>
      <c r="C182" t="n">
        <v>3</v>
      </c>
      <c r="D182" t="inlineStr">
        <is>
          <t>NUTRISOURCE</t>
        </is>
      </c>
    </row>
    <row r="183">
      <c r="A183" t="inlineStr">
        <is>
          <t>NS LATA GF PERRO MARISCOS 13OZ · 93500000475</t>
        </is>
      </c>
      <c r="B183" t="inlineStr">
        <is>
          <t>93500000475</t>
        </is>
      </c>
      <c r="C183" t="n">
        <v>11</v>
      </c>
      <c r="D183" t="inlineStr">
        <is>
          <t>NUTRISOURCE</t>
        </is>
      </c>
    </row>
    <row r="184">
      <c r="A184" t="inlineStr">
        <is>
          <t>NS LATA GF PERRO POLLO 13OZ · 93500000472</t>
        </is>
      </c>
      <c r="B184" t="inlineStr">
        <is>
          <t>93500000472</t>
        </is>
      </c>
      <c r="C184" t="n">
        <v>5</v>
      </c>
      <c r="D184" t="inlineStr">
        <is>
          <t>NUTRISOURCE</t>
        </is>
      </c>
    </row>
    <row r="185">
      <c r="A185" t="inlineStr">
        <is>
          <t>NS LATA PERRO CORDERO 13OZ · 93500000468</t>
        </is>
      </c>
      <c r="B185" t="inlineStr">
        <is>
          <t>93500000468</t>
        </is>
      </c>
      <c r="C185" t="n">
        <v>11</v>
      </c>
      <c r="D185" t="inlineStr">
        <is>
          <t>NUTRISOURCE</t>
        </is>
      </c>
    </row>
    <row r="186">
      <c r="A186" t="inlineStr">
        <is>
          <t>NS LATA PERRO CORDERO Y PESCADO 13OZ · 93500000467</t>
        </is>
      </c>
      <c r="B186" t="inlineStr">
        <is>
          <t>93500000467</t>
        </is>
      </c>
      <c r="C186" t="n">
        <v>1</v>
      </c>
      <c r="D186" t="inlineStr">
        <is>
          <t>NUTRISOURCE</t>
        </is>
      </c>
    </row>
    <row r="187">
      <c r="A187" t="inlineStr">
        <is>
          <t>NS LATA PERRO POLLO Y ARROZ 13OZ · 93500000466</t>
        </is>
      </c>
      <c r="B187" t="inlineStr">
        <is>
          <t>93500000466</t>
        </is>
      </c>
      <c r="C187" t="n">
        <v>12</v>
      </c>
      <c r="D187" t="inlineStr">
        <is>
          <t>NUTRISOURCE</t>
        </is>
      </c>
    </row>
    <row r="188">
      <c r="A188" t="inlineStr">
        <is>
          <t>NS LATA SENIOR POLLO 13OZ · 93500000470</t>
        </is>
      </c>
      <c r="B188" t="inlineStr">
        <is>
          <t>93500000470</t>
        </is>
      </c>
      <c r="C188" t="n">
        <v>11</v>
      </c>
      <c r="D188" t="inlineStr">
        <is>
          <t>NUTRISOURCE</t>
        </is>
      </c>
    </row>
    <row r="189">
      <c r="A189" t="inlineStr">
        <is>
          <t>NS PERRO ADULTO SMB POLLO Y ARROZ 4LB · 93500000422</t>
        </is>
      </c>
      <c r="B189" t="inlineStr">
        <is>
          <t>93500000422</t>
        </is>
      </c>
      <c r="C189" t="n">
        <v>3</v>
      </c>
      <c r="D189" t="inlineStr">
        <is>
          <t>NUTRISOURCE</t>
        </is>
      </c>
    </row>
    <row r="190">
      <c r="A190" t="inlineStr">
        <is>
          <t>NS PERRO CORDERO Y ARROZ 4LB · 93500000435</t>
        </is>
      </c>
      <c r="B190" t="inlineStr">
        <is>
          <t>93500000435</t>
        </is>
      </c>
      <c r="C190" t="n">
        <v>4</v>
      </c>
      <c r="D190" t="inlineStr">
        <is>
          <t>NUTRISOURCE</t>
        </is>
      </c>
    </row>
    <row r="191">
      <c r="A191" t="inlineStr">
        <is>
          <t>NS PERRO CTRL PESO GF 12LB · 93500000451</t>
        </is>
      </c>
      <c r="B191" t="inlineStr">
        <is>
          <t>93500000451</t>
        </is>
      </c>
      <c r="C191" t="n">
        <v>1</v>
      </c>
      <c r="D191" t="inlineStr">
        <is>
          <t>NUTRISOURCE</t>
        </is>
      </c>
    </row>
    <row r="192">
      <c r="A192" t="inlineStr">
        <is>
          <t>NS PERRO CTRL PESO GF 4LB · 93500000452</t>
        </is>
      </c>
      <c r="B192" t="inlineStr">
        <is>
          <t>93500000452</t>
        </is>
      </c>
      <c r="C192" t="n">
        <v>4</v>
      </c>
      <c r="D192" t="inlineStr">
        <is>
          <t>NUTRISOURCE</t>
        </is>
      </c>
    </row>
    <row r="193">
      <c r="A193" t="inlineStr">
        <is>
          <t>NS PERRO GF CORDERO Y GUISANTES 4LB · 93500000445</t>
        </is>
      </c>
      <c r="B193" t="inlineStr">
        <is>
          <t>93500000445</t>
        </is>
      </c>
      <c r="C193" t="n">
        <v>2</v>
      </c>
      <c r="D193" t="inlineStr">
        <is>
          <t>NUTRISOURCE</t>
        </is>
      </c>
    </row>
    <row r="194">
      <c r="A194" t="inlineStr">
        <is>
          <t>NS PERRO GF MARISCOS 4LB · 93500000464</t>
        </is>
      </c>
      <c r="B194" t="inlineStr">
        <is>
          <t>93500000464</t>
        </is>
      </c>
      <c r="C194" t="n">
        <v>8</v>
      </c>
      <c r="D194" t="inlineStr">
        <is>
          <t>NUTRISOURCE</t>
        </is>
      </c>
    </row>
    <row r="195">
      <c r="A195" t="inlineStr">
        <is>
          <t>NS PERRO GF POLLO Y GUISANTE 4LB · 93500000442</t>
        </is>
      </c>
      <c r="B195" t="inlineStr">
        <is>
          <t>93500000442</t>
        </is>
      </c>
      <c r="C195" t="n">
        <v>4</v>
      </c>
      <c r="D195" t="inlineStr">
        <is>
          <t>NUTRISOURCE</t>
        </is>
      </c>
    </row>
    <row r="196">
      <c r="A196" t="inlineStr">
        <is>
          <t>NS PERRO GF RZ PQNA POLLO GUISANTE 4LB · 93500000450</t>
        </is>
      </c>
      <c r="B196" t="inlineStr">
        <is>
          <t>93500000450</t>
        </is>
      </c>
      <c r="C196" t="n">
        <v>1</v>
      </c>
      <c r="D196" t="inlineStr">
        <is>
          <t>NUTRISOURCE</t>
        </is>
      </c>
    </row>
    <row r="197">
      <c r="A197" t="inlineStr">
        <is>
          <t>NS PERRO PAVO Y ARROZ 4LB · 93500000439</t>
        </is>
      </c>
      <c r="B197" t="inlineStr">
        <is>
          <t>93500000439</t>
        </is>
      </c>
      <c r="C197" t="n">
        <v>4</v>
      </c>
      <c r="D197" t="inlineStr">
        <is>
          <t>NUTRISOURCE</t>
        </is>
      </c>
    </row>
    <row r="198">
      <c r="A198" t="inlineStr">
        <is>
          <t>NS SENIOR POLLO Y ARROZ 4LB · 93500000432</t>
        </is>
      </c>
      <c r="B198" t="inlineStr">
        <is>
          <t>93500000432</t>
        </is>
      </c>
      <c r="C198" t="n">
        <v>2</v>
      </c>
      <c r="D198" t="inlineStr">
        <is>
          <t>NUTRISOURCE</t>
        </is>
      </c>
    </row>
    <row r="199">
      <c r="A199" t="inlineStr">
        <is>
          <t>D NYLABONE HUESO REG PAVO/MANZANA · 93508110000</t>
        </is>
      </c>
      <c r="B199" t="inlineStr">
        <is>
          <t>93508110000</t>
        </is>
      </c>
      <c r="C199" t="n">
        <v>1</v>
      </c>
      <c r="D199" t="inlineStr">
        <is>
          <t>NYLABONE</t>
        </is>
      </c>
    </row>
    <row r="200">
      <c r="A200" t="inlineStr">
        <is>
          <t>NYLABONE HUESO MD SABOR BISONTE · 93507930000</t>
        </is>
      </c>
      <c r="B200" t="inlineStr">
        <is>
          <t>93507930000</t>
        </is>
      </c>
      <c r="C200" t="n">
        <v>4</v>
      </c>
      <c r="D200" t="inlineStr">
        <is>
          <t>NYLABONE</t>
        </is>
      </c>
    </row>
    <row r="201">
      <c r="A201" t="inlineStr">
        <is>
          <t>NYLABONE HUESO PETITE CARNE ASADA · 93508280000</t>
        </is>
      </c>
      <c r="B201" t="inlineStr">
        <is>
          <t>93508280000</t>
        </is>
      </c>
      <c r="C201" t="n">
        <v>2</v>
      </c>
      <c r="D201" t="inlineStr">
        <is>
          <t>NYLABONE</t>
        </is>
      </c>
    </row>
    <row r="202">
      <c r="A202" t="inlineStr">
        <is>
          <t>NYLABONE HUESO REGULAR SABOR TOCINO · 93508200000</t>
        </is>
      </c>
      <c r="B202" t="inlineStr">
        <is>
          <t>93508200000</t>
        </is>
      </c>
      <c r="C202" t="n">
        <v>4</v>
      </c>
      <c r="D202" t="inlineStr">
        <is>
          <t>NYLABONE</t>
        </is>
      </c>
    </row>
    <row r="203">
      <c r="A203" t="inlineStr">
        <is>
          <t>NYLABONE HUESO TRIPLE P/CACHORRO · 93508370000</t>
        </is>
      </c>
      <c r="B203" t="inlineStr">
        <is>
          <t>93508370000</t>
        </is>
      </c>
      <c r="C203" t="n">
        <v>4</v>
      </c>
      <c r="D203" t="inlineStr">
        <is>
          <t>NYLABONE</t>
        </is>
      </c>
    </row>
    <row r="204">
      <c r="A204" t="inlineStr">
        <is>
          <t>NYLABONE HUESO WOLF SABOR POLLO · 93508250000</t>
        </is>
      </c>
      <c r="B204" t="inlineStr">
        <is>
          <t>93508250000</t>
        </is>
      </c>
      <c r="C204" t="n">
        <v>3</v>
      </c>
      <c r="D204" t="inlineStr">
        <is>
          <t>NYLABONE</t>
        </is>
      </c>
    </row>
    <row r="205">
      <c r="A205" t="inlineStr">
        <is>
          <t>OLA FINCHES/ PAJAROS EXOTICOS 800 · 90405540000</t>
        </is>
      </c>
      <c r="B205" t="inlineStr">
        <is>
          <t>90405540000</t>
        </is>
      </c>
      <c r="C205" t="n">
        <v>4</v>
      </c>
      <c r="D205" t="inlineStr">
        <is>
          <t>OLA</t>
        </is>
      </c>
    </row>
    <row r="206">
      <c r="A206" t="inlineStr">
        <is>
          <t>OLA HAMSTERS 800GRS · 90405600000</t>
        </is>
      </c>
      <c r="B206" t="inlineStr">
        <is>
          <t>90405600000</t>
        </is>
      </c>
      <c r="C206" t="n">
        <v>2</v>
      </c>
      <c r="D206" t="inlineStr">
        <is>
          <t>OLA</t>
        </is>
      </c>
    </row>
    <row r="207">
      <c r="A207" t="inlineStr">
        <is>
          <t>PEDIGREE ADULTO ETG 1KG · 90028420000</t>
        </is>
      </c>
      <c r="B207" t="inlineStr">
        <is>
          <t>90028420000</t>
        </is>
      </c>
      <c r="C207" t="n">
        <v>2</v>
      </c>
      <c r="D207" t="inlineStr">
        <is>
          <t>PEDIGREE</t>
        </is>
      </c>
    </row>
    <row r="208">
      <c r="A208" t="inlineStr">
        <is>
          <t>PEDIGREE CACHORRO 4KG · 90320010000</t>
        </is>
      </c>
      <c r="B208" t="inlineStr">
        <is>
          <t>90320010000</t>
        </is>
      </c>
      <c r="C208" t="n">
        <v>3</v>
      </c>
      <c r="D208" t="inlineStr">
        <is>
          <t>PEDIGREE</t>
        </is>
      </c>
    </row>
    <row r="209">
      <c r="A209" t="inlineStr">
        <is>
          <t>PEDIGREE CACHORRO NUTRIDEFENSE 1KG · 90028410000</t>
        </is>
      </c>
      <c r="B209" t="inlineStr">
        <is>
          <t>90028410000</t>
        </is>
      </c>
      <c r="C209" t="n">
        <v>1</v>
      </c>
      <c r="D209" t="inlineStr">
        <is>
          <t>PEDIGREE</t>
        </is>
      </c>
    </row>
    <row r="210">
      <c r="A210" t="inlineStr">
        <is>
          <t>PEDIGREE LATA  CHOICE CUTS BEEF 375 · 90413790000</t>
        </is>
      </c>
      <c r="B210" t="inlineStr">
        <is>
          <t>90413790000</t>
        </is>
      </c>
      <c r="C210" t="n">
        <v>7</v>
      </c>
      <c r="D210" t="inlineStr">
        <is>
          <t>PEDIGREE</t>
        </is>
      </c>
    </row>
    <row r="211">
      <c r="A211" t="inlineStr">
        <is>
          <t>PEDIGREE LATA CACHORRO 375GR · 90408540000</t>
        </is>
      </c>
      <c r="B211" t="inlineStr">
        <is>
          <t>90408540000</t>
        </is>
      </c>
      <c r="C211" t="n">
        <v>9</v>
      </c>
      <c r="D211" t="inlineStr">
        <is>
          <t>PEDIGREE</t>
        </is>
      </c>
    </row>
    <row r="212">
      <c r="A212" t="inlineStr">
        <is>
          <t>PEDIGREE LATA CHOPPED BEEF 375GR · 90408530000</t>
        </is>
      </c>
      <c r="B212" t="inlineStr">
        <is>
          <t>90408530000</t>
        </is>
      </c>
      <c r="C212" t="n">
        <v>11</v>
      </c>
      <c r="D212" t="inlineStr">
        <is>
          <t>PEDIGREE</t>
        </is>
      </c>
    </row>
    <row r="213">
      <c r="A213" t="inlineStr">
        <is>
          <t>PEDIGREE LATA CHOPPED CHICKEN 375GR · 90408560000</t>
        </is>
      </c>
      <c r="B213" t="inlineStr">
        <is>
          <t>90408560000</t>
        </is>
      </c>
      <c r="C213" t="n">
        <v>3</v>
      </c>
      <c r="D213" t="inlineStr">
        <is>
          <t>PEDIGREE</t>
        </is>
      </c>
    </row>
    <row r="214">
      <c r="A214" t="inlineStr">
        <is>
          <t>PEDIGREE POUCH POLLO ADULTO 100GR · 93509400000</t>
        </is>
      </c>
      <c r="B214" t="inlineStr">
        <is>
          <t>93509400000</t>
        </is>
      </c>
      <c r="C214" t="n">
        <v>9</v>
      </c>
      <c r="D214" t="inlineStr">
        <is>
          <t>PEDIGREE</t>
        </is>
      </c>
    </row>
    <row r="215">
      <c r="A215" t="inlineStr">
        <is>
          <t>PEDIGREE POUCH POLLO CACHORRO 100GR · 93509410000</t>
        </is>
      </c>
      <c r="B215" t="inlineStr">
        <is>
          <t>93509410000</t>
        </is>
      </c>
      <c r="C215" t="n">
        <v>27</v>
      </c>
      <c r="D215" t="inlineStr">
        <is>
          <t>PEDIGREE</t>
        </is>
      </c>
    </row>
    <row r="216">
      <c r="A216" t="inlineStr">
        <is>
          <t>PEDIGREE POUCH RES CACHORRO 100GR · 93509390000</t>
        </is>
      </c>
      <c r="B216" t="inlineStr">
        <is>
          <t>93509390000</t>
        </is>
      </c>
      <c r="C216" t="n">
        <v>9</v>
      </c>
      <c r="D216" t="inlineStr">
        <is>
          <t>PEDIGREE</t>
        </is>
      </c>
    </row>
    <row r="217">
      <c r="A217" t="inlineStr">
        <is>
          <t>PEDIGREE RAZA PEQ POUCH RES 100GR · 93512290000</t>
        </is>
      </c>
      <c r="B217" t="inlineStr">
        <is>
          <t>93512290000</t>
        </is>
      </c>
      <c r="C217" t="n">
        <v>3</v>
      </c>
      <c r="D217" t="inlineStr">
        <is>
          <t>PEDIGREE</t>
        </is>
      </c>
    </row>
    <row r="218">
      <c r="A218" t="inlineStr">
        <is>
          <t>PEDIGREE RAZAS PEQUENAS 2KG · 90407740000</t>
        </is>
      </c>
      <c r="B218" t="inlineStr">
        <is>
          <t>90407740000</t>
        </is>
      </c>
      <c r="C218" t="n">
        <v>5</v>
      </c>
      <c r="D218" t="inlineStr">
        <is>
          <t>PEDIGREE</t>
        </is>
      </c>
    </row>
    <row r="219">
      <c r="A219" t="inlineStr">
        <is>
          <t>PEDIGREE RAZAS PEQUENAS ETG 1KG · 90028390000</t>
        </is>
      </c>
      <c r="B219" t="inlineStr">
        <is>
          <t>90028390000</t>
        </is>
      </c>
      <c r="C219" t="n">
        <v>3</v>
      </c>
      <c r="D219" t="inlineStr">
        <is>
          <t>PEDIGREE</t>
        </is>
      </c>
    </row>
    <row r="220">
      <c r="A220" t="inlineStr">
        <is>
          <t>NECTAR PARA COLIBRI 240 · 93502370000</t>
        </is>
      </c>
      <c r="B220" t="inlineStr">
        <is>
          <t>93502370000</t>
        </is>
      </c>
      <c r="C220" t="n">
        <v>6</v>
      </c>
      <c r="D220" t="inlineStr">
        <is>
          <t>PERKY PET</t>
        </is>
      </c>
    </row>
    <row r="221">
      <c r="A221" t="inlineStr">
        <is>
          <t>D PF HUESO/ CARNAZA SABOR NATUR 11-12 · 93514350000</t>
        </is>
      </c>
      <c r="B221" t="inlineStr">
        <is>
          <t>93514350000</t>
        </is>
      </c>
      <c r="C221" t="n">
        <v>2</v>
      </c>
      <c r="D221" t="inlineStr">
        <is>
          <t>PET FACTORY</t>
        </is>
      </c>
    </row>
    <row r="222">
      <c r="A222" t="inlineStr">
        <is>
          <t>D PF HUESO/CARNAZA SABOR M.MANI 4IN-5 · 93514310000</t>
        </is>
      </c>
      <c r="B222" t="inlineStr">
        <is>
          <t>93514310000</t>
        </is>
      </c>
      <c r="C222" t="n">
        <v>4</v>
      </c>
      <c r="D222" t="inlineStr">
        <is>
          <t>PET FACTORY</t>
        </is>
      </c>
    </row>
    <row r="223">
      <c r="A223" t="inlineStr">
        <is>
          <t>PF CARE CHEWZ TRENZA/COLAGENO POLLO · 93517810000</t>
        </is>
      </c>
      <c r="B223" t="inlineStr">
        <is>
          <t>93517810000</t>
        </is>
      </c>
      <c r="C223" t="n">
        <v>1</v>
      </c>
      <c r="D223" t="inlineStr">
        <is>
          <t>PET FACTORY</t>
        </is>
      </c>
    </row>
    <row r="224">
      <c r="A224" t="inlineStr">
        <is>
          <t>PF HUESO/ CARNAZA SABOR NATU 15-17 · 93514370000</t>
        </is>
      </c>
      <c r="B224" t="inlineStr">
        <is>
          <t>93514370000</t>
        </is>
      </c>
      <c r="C224" t="n">
        <v>2</v>
      </c>
      <c r="D224" t="inlineStr">
        <is>
          <t>PET FACTORY</t>
        </is>
      </c>
    </row>
    <row r="225">
      <c r="A225" t="inlineStr">
        <is>
          <t>PF HUESO/ CARNAZA SABOR NATURA 9-10 · 93514340000</t>
        </is>
      </c>
      <c r="B225" t="inlineStr">
        <is>
          <t>93514340000</t>
        </is>
      </c>
      <c r="C225" t="n">
        <v>1</v>
      </c>
      <c r="D225" t="inlineStr">
        <is>
          <t>PET FACTORY</t>
        </is>
      </c>
    </row>
    <row r="226">
      <c r="A226" t="inlineStr">
        <is>
          <t>PF HUESO/ CARNAZA SABOR POLLO 6-7IN · 93514220000</t>
        </is>
      </c>
      <c r="B226" t="inlineStr">
        <is>
          <t>93514220000</t>
        </is>
      </c>
      <c r="C226" t="n">
        <v>2</v>
      </c>
      <c r="D226" t="inlineStr">
        <is>
          <t>PET FACTORY</t>
        </is>
      </c>
    </row>
    <row r="227">
      <c r="A227" t="inlineStr">
        <is>
          <t>SD CANINE/FELINE A/D 5.5 OZ. · 90304470000</t>
        </is>
      </c>
      <c r="B227" t="inlineStr">
        <is>
          <t>90304470000</t>
        </is>
      </c>
      <c r="C227" t="n">
        <v>10</v>
      </c>
      <c r="D227" t="inlineStr">
        <is>
          <t>PRESCRIPTION DIET</t>
        </is>
      </c>
    </row>
    <row r="228">
      <c r="A228" t="inlineStr">
        <is>
          <t>SD LATA CANINE I/D/12/ 13 OZ. · 90406520000</t>
        </is>
      </c>
      <c r="B228" t="inlineStr">
        <is>
          <t>90406520000</t>
        </is>
      </c>
      <c r="C228" t="n">
        <v>1</v>
      </c>
      <c r="D228" t="inlineStr">
        <is>
          <t>PRESCRIPTION DIET</t>
        </is>
      </c>
    </row>
    <row r="229">
      <c r="A229" t="inlineStr">
        <is>
          <t>PP ADULTO SENSITIVE SKIN  3KG · 93510171000</t>
        </is>
      </c>
      <c r="B229" t="inlineStr">
        <is>
          <t>93510171000</t>
        </is>
      </c>
      <c r="C229" t="n">
        <v>4</v>
      </c>
      <c r="D229" t="inlineStr">
        <is>
          <t>PRO PLAN</t>
        </is>
      </c>
    </row>
    <row r="230">
      <c r="A230" t="inlineStr">
        <is>
          <t>PP CACHORRO RZ GRANDE 3.5KG · 93501121000</t>
        </is>
      </c>
      <c r="B230" t="inlineStr">
        <is>
          <t>93501121000</t>
        </is>
      </c>
      <c r="C230" t="n">
        <v>3</v>
      </c>
      <c r="D230" t="inlineStr">
        <is>
          <t>PRO PLAN</t>
        </is>
      </c>
    </row>
    <row r="231">
      <c r="A231" t="inlineStr">
        <is>
          <t>PP GATO ADULTO SALMON 85G · 90403691000</t>
        </is>
      </c>
      <c r="B231" t="inlineStr">
        <is>
          <t>90403691000</t>
        </is>
      </c>
      <c r="C231" t="n">
        <v>6</v>
      </c>
      <c r="D231" t="inlineStr">
        <is>
          <t>PRO PLAN</t>
        </is>
      </c>
    </row>
    <row r="232">
      <c r="A232" t="inlineStr">
        <is>
          <t>PP GATO CTRL URINARIO 85G · 90401421000</t>
        </is>
      </c>
      <c r="B232" t="inlineStr">
        <is>
          <t>90401421000</t>
        </is>
      </c>
      <c r="C232" t="n">
        <v>6</v>
      </c>
      <c r="D232" t="inlineStr">
        <is>
          <t>PRO PLAN</t>
        </is>
      </c>
    </row>
    <row r="233">
      <c r="A233" t="inlineStr">
        <is>
          <t>PP GATO LATA SOPORTE URINARIO 5.5OZ · 93519420000</t>
        </is>
      </c>
      <c r="B233" t="inlineStr">
        <is>
          <t>93519420000</t>
        </is>
      </c>
      <c r="C233" t="n">
        <v>6</v>
      </c>
      <c r="D233" t="inlineStr">
        <is>
          <t>PRO PLAN</t>
        </is>
      </c>
    </row>
    <row r="234">
      <c r="A234" t="inlineStr">
        <is>
          <t>PP GATO NF ADVANCE RINONES 3.15LB · 93519430000</t>
        </is>
      </c>
      <c r="B234" t="inlineStr">
        <is>
          <t>93519430000</t>
        </is>
      </c>
      <c r="C234" t="n">
        <v>1</v>
      </c>
      <c r="D234" t="inlineStr">
        <is>
          <t>PRO PLAN</t>
        </is>
      </c>
    </row>
    <row r="235">
      <c r="A235" t="inlineStr">
        <is>
          <t>PP GATO NF LATA ADVANCE RINONES 5.5 · 93519440000</t>
        </is>
      </c>
      <c r="B235" t="inlineStr">
        <is>
          <t>93519440000</t>
        </is>
      </c>
      <c r="C235" t="n">
        <v>6</v>
      </c>
      <c r="D235" t="inlineStr">
        <is>
          <t>PRO PLAN</t>
        </is>
      </c>
    </row>
    <row r="236">
      <c r="A236" t="inlineStr">
        <is>
          <t>PP GATO SOPORTE URINARIO 6LB · 93519410000</t>
        </is>
      </c>
      <c r="B236" t="inlineStr">
        <is>
          <t>93519410000</t>
        </is>
      </c>
      <c r="C236" t="n">
        <v>1</v>
      </c>
      <c r="D236" t="inlineStr">
        <is>
          <t>PRO PLAN</t>
        </is>
      </c>
    </row>
    <row r="237">
      <c r="A237" t="inlineStr">
        <is>
          <t>PP GATOS LATA VET EN GASTRO 5.5OZ · 93519460000</t>
        </is>
      </c>
      <c r="B237" t="inlineStr">
        <is>
          <t>93519460000</t>
        </is>
      </c>
      <c r="C237" t="n">
        <v>3</v>
      </c>
      <c r="D237" t="inlineStr">
        <is>
          <t>PRO PLAN</t>
        </is>
      </c>
    </row>
    <row r="238">
      <c r="A238" t="inlineStr">
        <is>
          <t>PP KITTEN 85G · 90401190000</t>
        </is>
      </c>
      <c r="B238" t="inlineStr">
        <is>
          <t>90401190000</t>
        </is>
      </c>
      <c r="C238" t="n">
        <v>5</v>
      </c>
      <c r="D238" t="inlineStr">
        <is>
          <t>PRO PLAN</t>
        </is>
      </c>
    </row>
    <row r="239">
      <c r="A239" t="inlineStr">
        <is>
          <t>PP PERROS EN GASTRO 6LB · 93519540000</t>
        </is>
      </c>
      <c r="B239" t="inlineStr">
        <is>
          <t>93519540000</t>
        </is>
      </c>
      <c r="C239" t="n">
        <v>1</v>
      </c>
      <c r="D239" t="inlineStr">
        <is>
          <t>PRO PLAN</t>
        </is>
      </c>
    </row>
    <row r="240">
      <c r="A240" t="inlineStr">
        <is>
          <t>PP PERROS HYDROLYZED 6LB · 93519500000</t>
        </is>
      </c>
      <c r="B240" t="inlineStr">
        <is>
          <t>93519500000</t>
        </is>
      </c>
      <c r="C240" t="n">
        <v>1</v>
      </c>
      <c r="D240" t="inlineStr">
        <is>
          <t>PRO PLAN</t>
        </is>
      </c>
    </row>
    <row r="241">
      <c r="A241" t="inlineStr">
        <is>
          <t>PP PERROS LATA GASTRO 13.4OZ · 93519550000</t>
        </is>
      </c>
      <c r="B241" t="inlineStr">
        <is>
          <t>93519550000</t>
        </is>
      </c>
      <c r="C241" t="n">
        <v>9</v>
      </c>
      <c r="D241" t="inlineStr">
        <is>
          <t>PRO PLAN</t>
        </is>
      </c>
    </row>
    <row r="242">
      <c r="A242" t="inlineStr">
        <is>
          <t>PP PERROS LATA HYDROLYZED 13.3OZ · 93519510000</t>
        </is>
      </c>
      <c r="B242" t="inlineStr">
        <is>
          <t>93519510000</t>
        </is>
      </c>
      <c r="C242" t="n">
        <v>5</v>
      </c>
      <c r="D242" t="inlineStr">
        <is>
          <t>PRO PLAN</t>
        </is>
      </c>
    </row>
    <row r="243">
      <c r="A243" t="inlineStr">
        <is>
          <t>PP PERROS LATA SOBREPESO 13.3OZ · 93519490000</t>
        </is>
      </c>
      <c r="B243" t="inlineStr">
        <is>
          <t>93519490000</t>
        </is>
      </c>
      <c r="C243" t="n">
        <v>4</v>
      </c>
      <c r="D243" t="inlineStr">
        <is>
          <t>PRO PLAN</t>
        </is>
      </c>
    </row>
    <row r="244">
      <c r="A244" t="inlineStr">
        <is>
          <t>PP PERROS LATA SOPORTE RINONES 13.3 · 93519530000</t>
        </is>
      </c>
      <c r="B244" t="inlineStr">
        <is>
          <t>93519530000</t>
        </is>
      </c>
      <c r="C244" t="n">
        <v>6</v>
      </c>
      <c r="D244" t="inlineStr">
        <is>
          <t>PRO PLAN</t>
        </is>
      </c>
    </row>
    <row r="245">
      <c r="A245" t="inlineStr">
        <is>
          <t>PP PERROS NF SOPORTE RINONES 6LB · 93519520000</t>
        </is>
      </c>
      <c r="B245" t="inlineStr">
        <is>
          <t>93519520000</t>
        </is>
      </c>
      <c r="C245" t="n">
        <v>1</v>
      </c>
      <c r="D245" t="inlineStr">
        <is>
          <t>PRO PLAN</t>
        </is>
      </c>
    </row>
    <row r="246">
      <c r="A246" t="inlineStr">
        <is>
          <t>PP PERROS SOBREPESO 6LB · 93519480000</t>
        </is>
      </c>
      <c r="B246" t="inlineStr">
        <is>
          <t>93519480000</t>
        </is>
      </c>
      <c r="C246" t="n">
        <v>1</v>
      </c>
      <c r="D246" t="inlineStr">
        <is>
          <t>PRO PLAN</t>
        </is>
      </c>
    </row>
    <row r="247">
      <c r="A247" t="inlineStr">
        <is>
          <t>PP PROPLAN ADULTO CARNE POUCH 85G · 93520280000</t>
        </is>
      </c>
      <c r="B247" t="inlineStr">
        <is>
          <t>93520280000</t>
        </is>
      </c>
      <c r="C247" t="n">
        <v>6</v>
      </c>
      <c r="D247" t="inlineStr">
        <is>
          <t>PRO PLAN</t>
        </is>
      </c>
    </row>
    <row r="248">
      <c r="A248" t="inlineStr">
        <is>
          <t>PP PROPLAN ADULTO SENSIBLE MD 3KG · 93520140000</t>
        </is>
      </c>
      <c r="B248" t="inlineStr">
        <is>
          <t>93520140000</t>
        </is>
      </c>
      <c r="C248" t="n">
        <v>2</v>
      </c>
      <c r="D248" t="inlineStr">
        <is>
          <t>PRO PLAN</t>
        </is>
      </c>
    </row>
    <row r="249">
      <c r="A249" t="inlineStr">
        <is>
          <t>PP PROPLAN CACHORRO RZ MD 13KG · 93520200000</t>
        </is>
      </c>
      <c r="B249" t="inlineStr">
        <is>
          <t>93520200000</t>
        </is>
      </c>
      <c r="C249" t="n">
        <v>1</v>
      </c>
      <c r="D249" t="inlineStr">
        <is>
          <t>PRO PLAN</t>
        </is>
      </c>
    </row>
    <row r="250">
      <c r="A250" t="inlineStr">
        <is>
          <t>PP PROPLAN CACHORRO RZ PQNA 1KG · 93520160000</t>
        </is>
      </c>
      <c r="B250" t="inlineStr">
        <is>
          <t>93520160000</t>
        </is>
      </c>
      <c r="C250" t="n">
        <v>3</v>
      </c>
      <c r="D250" t="inlineStr">
        <is>
          <t>PRO PLAN</t>
        </is>
      </c>
    </row>
    <row r="251">
      <c r="A251" t="inlineStr">
        <is>
          <t>PP PROPLAN CACHORROS POUCH 85 G · 93520260000</t>
        </is>
      </c>
      <c r="B251" t="inlineStr">
        <is>
          <t>93520260000</t>
        </is>
      </c>
      <c r="C251" t="n">
        <v>6</v>
      </c>
      <c r="D251" t="inlineStr">
        <is>
          <t>PRO PLAN</t>
        </is>
      </c>
    </row>
    <row r="252">
      <c r="A252" t="inlineStr">
        <is>
          <t>PP PROPLAN CACHORROS RZ MD OPTI 3KG · 93520130000</t>
        </is>
      </c>
      <c r="B252" t="inlineStr">
        <is>
          <t>93520130000</t>
        </is>
      </c>
      <c r="C252" t="n">
        <v>1</v>
      </c>
      <c r="D252" t="inlineStr">
        <is>
          <t>PRO PLAN</t>
        </is>
      </c>
    </row>
    <row r="253">
      <c r="A253" t="inlineStr">
        <is>
          <t>PP PROPLAN GATITO POLLO/ARROZ 1.5KG · 93520250000</t>
        </is>
      </c>
      <c r="B253" t="inlineStr">
        <is>
          <t>93520250000</t>
        </is>
      </c>
      <c r="C253" t="n">
        <v>3</v>
      </c>
      <c r="D253" t="inlineStr">
        <is>
          <t>PRO PLAN</t>
        </is>
      </c>
    </row>
    <row r="254">
      <c r="A254" t="inlineStr">
        <is>
          <t>PP PROPLAN MENTE ACTIVA RZ MD 3KG · 93520230000</t>
        </is>
      </c>
      <c r="B254" t="inlineStr">
        <is>
          <t>93520230000</t>
        </is>
      </c>
      <c r="C254" t="n">
        <v>2</v>
      </c>
      <c r="D254" t="inlineStr">
        <is>
          <t>PRO PLAN</t>
        </is>
      </c>
    </row>
    <row r="255">
      <c r="A255" t="inlineStr">
        <is>
          <t>PP SENIOR  ACTIVE MIND RZ PQNA 3KG · 93510271000</t>
        </is>
      </c>
      <c r="B255" t="inlineStr">
        <is>
          <t>93510271000</t>
        </is>
      </c>
      <c r="C255" t="n">
        <v>2</v>
      </c>
      <c r="D255" t="inlineStr">
        <is>
          <t>PRO PLAN</t>
        </is>
      </c>
    </row>
    <row r="256">
      <c r="A256" t="inlineStr">
        <is>
          <t>PPVD NC NEUROCARE 6LB · 90038380000</t>
        </is>
      </c>
      <c r="B256" t="inlineStr">
        <is>
          <t>90038380000</t>
        </is>
      </c>
      <c r="C256" t="n">
        <v>1</v>
      </c>
      <c r="D256" t="inlineStr">
        <is>
          <t>PRO PLAN</t>
        </is>
      </c>
    </row>
    <row r="257">
      <c r="A257" t="inlineStr">
        <is>
          <t>PPVD NUTRICION CRITICA GATO Y PERRO 5.5O · 90038430000</t>
        </is>
      </c>
      <c r="B257" t="inlineStr">
        <is>
          <t>90038430000</t>
        </is>
      </c>
      <c r="C257" t="n">
        <v>12</v>
      </c>
      <c r="D257" t="inlineStr">
        <is>
          <t>PRO PLAN</t>
        </is>
      </c>
    </row>
    <row r="258">
      <c r="A258" t="inlineStr">
        <is>
          <t>PROPLAN ADULTO BOCADOS PEQUENOS 1KG MX · 90038590000</t>
        </is>
      </c>
      <c r="B258" t="inlineStr">
        <is>
          <t>90038590000</t>
        </is>
      </c>
      <c r="C258" t="n">
        <v>5</v>
      </c>
      <c r="D258" t="inlineStr">
        <is>
          <t>PRO PLAN</t>
        </is>
      </c>
    </row>
    <row r="259">
      <c r="A259" t="inlineStr">
        <is>
          <t>PROPLAN ADULTO EXIGENTE RZ PQNA 3KG · 93520060000</t>
        </is>
      </c>
      <c r="B259" t="inlineStr">
        <is>
          <t>93520060000</t>
        </is>
      </c>
      <c r="C259" t="n">
        <v>3</v>
      </c>
      <c r="D259" t="inlineStr">
        <is>
          <t>PRO PLAN</t>
        </is>
      </c>
    </row>
    <row r="260">
      <c r="A260" t="inlineStr">
        <is>
          <t>PROPLAN ADULTO RZ MD OPTIHEALTH 7.5 · 93520070000</t>
        </is>
      </c>
      <c r="B260" t="inlineStr">
        <is>
          <t>93520070000</t>
        </is>
      </c>
      <c r="C260" t="n">
        <v>1</v>
      </c>
      <c r="D260" t="inlineStr">
        <is>
          <t>PRO PLAN</t>
        </is>
      </c>
    </row>
    <row r="261">
      <c r="A261" t="inlineStr">
        <is>
          <t>PROPLAN ADULTO RZ MED OPTIHEALTH 3 · 93520000000</t>
        </is>
      </c>
      <c r="B261" t="inlineStr">
        <is>
          <t>93520000000</t>
        </is>
      </c>
      <c r="C261" t="n">
        <v>2</v>
      </c>
      <c r="D261" t="inlineStr">
        <is>
          <t>PRO PLAN</t>
        </is>
      </c>
    </row>
    <row r="262">
      <c r="A262" t="inlineStr">
        <is>
          <t>PROPLAN EXIGENT BOCADOS PEQUENOS 1KG MX · 90038580000</t>
        </is>
      </c>
      <c r="B262" t="inlineStr">
        <is>
          <t>90038580000</t>
        </is>
      </c>
      <c r="C262" t="n">
        <v>5</v>
      </c>
      <c r="D262" t="inlineStr">
        <is>
          <t>PRO PLAN</t>
        </is>
      </c>
    </row>
    <row r="263">
      <c r="A263" t="inlineStr">
        <is>
          <t>PROPLAN GATO ESTERILIZADO SALMON 3K · 93519980000</t>
        </is>
      </c>
      <c r="B263" t="inlineStr">
        <is>
          <t>93519980000</t>
        </is>
      </c>
      <c r="C263" t="n">
        <v>2</v>
      </c>
      <c r="D263" t="inlineStr">
        <is>
          <t>PRO PLAN</t>
        </is>
      </c>
    </row>
    <row r="264">
      <c r="A264" t="inlineStr">
        <is>
          <t>PROPLAN GATO SENIOR POLLO/ARROZ 3KG · 93519990000</t>
        </is>
      </c>
      <c r="B264" t="inlineStr">
        <is>
          <t>93519990000</t>
        </is>
      </c>
      <c r="C264" t="n">
        <v>1</v>
      </c>
      <c r="D264" t="inlineStr">
        <is>
          <t>PRO PLAN</t>
        </is>
      </c>
    </row>
    <row r="265">
      <c r="A265" t="inlineStr">
        <is>
          <t>PROPLAN MENTE ACTIVA BOCADOS PEQ 1KG MX · 90038610000</t>
        </is>
      </c>
      <c r="B265" t="inlineStr">
        <is>
          <t>90038610000</t>
        </is>
      </c>
      <c r="C265" t="n">
        <v>5</v>
      </c>
      <c r="D265" t="inlineStr">
        <is>
          <t>PRO PLAN</t>
        </is>
      </c>
    </row>
    <row r="266">
      <c r="A266" t="inlineStr">
        <is>
          <t>PROPLAN OPTIDERMA RZ PQNA 7.5KG · 93520010000</t>
        </is>
      </c>
      <c r="B266" t="inlineStr">
        <is>
          <t>93520010000</t>
        </is>
      </c>
      <c r="C266" t="n">
        <v>1</v>
      </c>
      <c r="D266" t="inlineStr">
        <is>
          <t>PRO PLAN</t>
        </is>
      </c>
    </row>
    <row r="267">
      <c r="A267" t="inlineStr">
        <is>
          <t>PROPLAN PIEL SENSI ADULTO RAZAS PEQ 1KG · 90038600000</t>
        </is>
      </c>
      <c r="B267" t="inlineStr">
        <is>
          <t>90038600000</t>
        </is>
      </c>
      <c r="C267" t="n">
        <v>7</v>
      </c>
      <c r="D267" t="inlineStr">
        <is>
          <t>PRO PLAN</t>
        </is>
      </c>
    </row>
    <row r="268">
      <c r="A268" t="inlineStr">
        <is>
          <t>PROPLAN URINARY GATO ADULTO 1.5KG MX · 90038570000</t>
        </is>
      </c>
      <c r="B268" t="inlineStr">
        <is>
          <t>90038570000</t>
        </is>
      </c>
      <c r="C268" t="n">
        <v>2</v>
      </c>
      <c r="D268" t="inlineStr">
        <is>
          <t>PRO PLAN</t>
        </is>
      </c>
    </row>
    <row r="269">
      <c r="A269" t="inlineStr">
        <is>
          <t>PROPLAN URINARY OPTITRACT 3KG · 93519970000</t>
        </is>
      </c>
      <c r="B269" t="inlineStr">
        <is>
          <t>93519970000</t>
        </is>
      </c>
      <c r="C269" t="n">
        <v>1</v>
      </c>
      <c r="D269" t="inlineStr">
        <is>
          <t>PRO PLAN</t>
        </is>
      </c>
    </row>
    <row r="270">
      <c r="A270" t="inlineStr">
        <is>
          <t>3 PACK FELIX SURTIDO (3X156G) · 90040920000</t>
        </is>
      </c>
      <c r="B270" t="inlineStr">
        <is>
          <t>90040920000</t>
        </is>
      </c>
      <c r="C270" t="n">
        <v>8</v>
      </c>
      <c r="D270" t="inlineStr">
        <is>
          <t>PURINA</t>
        </is>
      </c>
    </row>
    <row r="271">
      <c r="A271" t="inlineStr">
        <is>
          <t>4 PACK FELIX SURTIDO (4X85G) · 90040930000</t>
        </is>
      </c>
      <c r="B271" t="inlineStr">
        <is>
          <t>90040930000</t>
        </is>
      </c>
      <c r="C271" t="n">
        <v>8</v>
      </c>
      <c r="D271" t="inlineStr">
        <is>
          <t>PURINA</t>
        </is>
      </c>
    </row>
    <row r="272">
      <c r="A272" t="inlineStr">
        <is>
          <t>CATCHOW GATITO DEFENSE PLUS 1.5KG · 93520020000</t>
        </is>
      </c>
      <c r="B272" t="inlineStr">
        <is>
          <t>93520020000</t>
        </is>
      </c>
      <c r="C272" t="n">
        <v>6</v>
      </c>
      <c r="D272" t="inlineStr">
        <is>
          <t>PURINA</t>
        </is>
      </c>
    </row>
    <row r="273">
      <c r="A273" t="inlineStr">
        <is>
          <t>PRO PLAN ADULTO RAZA PEQUEÑA 4x3.5kgMX · 90026960000</t>
        </is>
      </c>
      <c r="B273" t="inlineStr">
        <is>
          <t>90026960000</t>
        </is>
      </c>
      <c r="C273" t="n">
        <v>3</v>
      </c>
      <c r="D273" t="inlineStr">
        <is>
          <t>PURINA</t>
        </is>
      </c>
    </row>
    <row r="274">
      <c r="A274" t="inlineStr">
        <is>
          <t>PRO PLAN CACHORRO RAZA PEQUEÑA 4x3.5kgMX · 90026950000</t>
        </is>
      </c>
      <c r="B274" t="inlineStr">
        <is>
          <t>90026950000</t>
        </is>
      </c>
      <c r="C274" t="n">
        <v>3</v>
      </c>
      <c r="D274" t="inlineStr">
        <is>
          <t>PURINA</t>
        </is>
      </c>
    </row>
    <row r="275">
      <c r="A275" t="inlineStr">
        <is>
          <t>PURINA FELIX ATUN EN SALSA 85G · 93516230000</t>
        </is>
      </c>
      <c r="B275" t="inlineStr">
        <is>
          <t>93516230000</t>
        </is>
      </c>
      <c r="C275" t="n">
        <v>20</v>
      </c>
      <c r="D275" t="inlineStr">
        <is>
          <t>PURINA</t>
        </is>
      </c>
    </row>
    <row r="276">
      <c r="A276" t="inlineStr">
        <is>
          <t>PURINA FELIX PAVO EN SALSA 85G · 93516200000</t>
        </is>
      </c>
      <c r="B276" t="inlineStr">
        <is>
          <t>93516200000</t>
        </is>
      </c>
      <c r="C276" t="n">
        <v>14</v>
      </c>
      <c r="D276" t="inlineStr">
        <is>
          <t>PURINA</t>
        </is>
      </c>
    </row>
    <row r="277">
      <c r="A277" t="inlineStr">
        <is>
          <t>PURINA FELIX PESCADO EN SALSA 85G · 93516210000</t>
        </is>
      </c>
      <c r="B277" t="inlineStr">
        <is>
          <t>93516210000</t>
        </is>
      </c>
      <c r="C277" t="n">
        <v>28</v>
      </c>
      <c r="D277" t="inlineStr">
        <is>
          <t>PURINA</t>
        </is>
      </c>
    </row>
    <row r="278">
      <c r="A278" t="inlineStr">
        <is>
          <t>PURINA FELIX SALMON EN SALSA 85G · 93516220000</t>
        </is>
      </c>
      <c r="B278" t="inlineStr">
        <is>
          <t>93516220000</t>
        </is>
      </c>
      <c r="C278" t="n">
        <v>6</v>
      </c>
      <c r="D278" t="inlineStr">
        <is>
          <t>PURINA</t>
        </is>
      </c>
    </row>
    <row r="279">
      <c r="A279" t="inlineStr">
        <is>
          <t>SNACK BEGGIN STRIPS BACON 85G · 90401200000</t>
        </is>
      </c>
      <c r="B279" t="inlineStr">
        <is>
          <t>90401200000</t>
        </is>
      </c>
      <c r="C279" t="n">
        <v>8</v>
      </c>
      <c r="D279" t="inlineStr">
        <is>
          <t>PURINA</t>
        </is>
      </c>
    </row>
    <row r="280">
      <c r="A280" t="inlineStr">
        <is>
          <t>D RB  HUESO PQNO RELLENO M MANNÂ · 93512200000</t>
        </is>
      </c>
      <c r="B280" t="inlineStr">
        <is>
          <t>93512200000</t>
        </is>
      </c>
      <c r="C280" t="n">
        <v>3</v>
      </c>
      <c r="D280" t="inlineStr">
        <is>
          <t>RED BARN</t>
        </is>
      </c>
    </row>
    <row r="281">
      <c r="A281" t="inlineStr">
        <is>
          <t>D RB HUESO PQNO RELLENO DE POLLO · 93512180000</t>
        </is>
      </c>
      <c r="B281" t="inlineStr">
        <is>
          <t>93512180000</t>
        </is>
      </c>
      <c r="C281" t="n">
        <v>1</v>
      </c>
      <c r="D281" t="inlineStr">
        <is>
          <t>RED BARN</t>
        </is>
      </c>
    </row>
    <row r="282">
      <c r="A282" t="inlineStr">
        <is>
          <t>UC SNACK BARRA RELLENA DE HIGADO 1 · 93513070000</t>
        </is>
      </c>
      <c r="B282" t="inlineStr">
        <is>
          <t>93513070000</t>
        </is>
      </c>
      <c r="C282" t="n">
        <v>6</v>
      </c>
      <c r="D282" t="inlineStr">
        <is>
          <t>RUSH DIRECT</t>
        </is>
      </c>
    </row>
    <row r="283">
      <c r="A283" t="inlineStr">
        <is>
          <t>UC SNACK BARRA RELLENA DE POLLO 1UD · 93513080000</t>
        </is>
      </c>
      <c r="B283" t="inlineStr">
        <is>
          <t>93513080000</t>
        </is>
      </c>
      <c r="C283" t="n">
        <v>1</v>
      </c>
      <c r="D283" t="inlineStr">
        <is>
          <t>RUSH DIRECT</t>
        </is>
      </c>
    </row>
    <row r="284">
      <c r="A284" t="inlineStr">
        <is>
          <t>D SMARTBONE POLLO MINI 16 UD · 93515650000</t>
        </is>
      </c>
      <c r="B284" t="inlineStr">
        <is>
          <t>93515650000</t>
        </is>
      </c>
      <c r="C284" t="n">
        <v>1</v>
      </c>
      <c r="D284" t="inlineStr">
        <is>
          <t>SMARTBONES</t>
        </is>
      </c>
    </row>
    <row r="285">
      <c r="A285" t="inlineStr">
        <is>
          <t>ROCKY ADULTO POLLO US 2KG · 90022370000</t>
        </is>
      </c>
      <c r="B285" t="inlineStr">
        <is>
          <t>90022370000</t>
        </is>
      </c>
      <c r="C285" t="n">
        <v>3</v>
      </c>
      <c r="D285" t="inlineStr">
        <is>
          <t>SUPERKAN</t>
        </is>
      </c>
    </row>
    <row r="286">
      <c r="A286" t="inlineStr">
        <is>
          <t>ROCKY ADULTOS 1KG · 93500000342</t>
        </is>
      </c>
      <c r="B286" t="inlineStr">
        <is>
          <t>93500000342</t>
        </is>
      </c>
      <c r="C286" t="n">
        <v>23</v>
      </c>
      <c r="D286" t="inlineStr">
        <is>
          <t>SUPERKAN</t>
        </is>
      </c>
    </row>
    <row r="287">
      <c r="A287" t="inlineStr">
        <is>
          <t>ROCKY ADULTOS 500G · 93500000341</t>
        </is>
      </c>
      <c r="B287" t="inlineStr">
        <is>
          <t>93500000341</t>
        </is>
      </c>
      <c r="C287" t="n">
        <v>18</v>
      </c>
      <c r="D287" t="inlineStr">
        <is>
          <t>SUPERKAN</t>
        </is>
      </c>
    </row>
    <row r="288">
      <c r="A288" t="inlineStr">
        <is>
          <t>SK ALIM LATA POLLO/VEGETALES 400GR · 93511670000</t>
        </is>
      </c>
      <c r="B288" t="inlineStr">
        <is>
          <t>93511670000</t>
        </is>
      </c>
      <c r="C288" t="n">
        <v>7</v>
      </c>
      <c r="D288" t="inlineStr">
        <is>
          <t>SUPERKAN</t>
        </is>
      </c>
    </row>
    <row r="289">
      <c r="A289" t="inlineStr">
        <is>
          <t>D SUPRA SNACK TOCINETAS P/PERRO · 93509320000</t>
        </is>
      </c>
      <c r="B289" t="inlineStr">
        <is>
          <t>93509320000</t>
        </is>
      </c>
      <c r="C289" t="n">
        <v>9</v>
      </c>
      <c r="D289" t="inlineStr">
        <is>
          <t>SUPRA</t>
        </is>
      </c>
    </row>
    <row r="290">
      <c r="A290" t="inlineStr">
        <is>
          <t>SUPRA ADULTO 1.5KG · 93508860000</t>
        </is>
      </c>
      <c r="B290" t="inlineStr">
        <is>
          <t>93508860000</t>
        </is>
      </c>
      <c r="C290" t="n">
        <v>4</v>
      </c>
      <c r="D290" t="inlineStr">
        <is>
          <t>SUPRA</t>
        </is>
      </c>
    </row>
    <row r="291">
      <c r="A291" t="inlineStr">
        <is>
          <t>SUPRA ADULTO 18KG · 93508890000</t>
        </is>
      </c>
      <c r="B291" t="inlineStr">
        <is>
          <t>93508890000</t>
        </is>
      </c>
      <c r="C291" t="n">
        <v>7</v>
      </c>
      <c r="D291" t="inlineStr">
        <is>
          <t>SUPRA</t>
        </is>
      </c>
    </row>
    <row r="292">
      <c r="A292" t="inlineStr">
        <is>
          <t>SUPRA CACHORRO 1.5KG · 93508910000</t>
        </is>
      </c>
      <c r="B292" t="inlineStr">
        <is>
          <t>93508910000</t>
        </is>
      </c>
      <c r="C292" t="n">
        <v>3</v>
      </c>
      <c r="D292" t="inlineStr">
        <is>
          <t>SUPRA</t>
        </is>
      </c>
    </row>
    <row r="293">
      <c r="A293" t="inlineStr">
        <is>
          <t>SUPRA CACHORRO 4KG · 93508920000</t>
        </is>
      </c>
      <c r="B293" t="inlineStr">
        <is>
          <t>93508920000</t>
        </is>
      </c>
      <c r="C293" t="n">
        <v>2</v>
      </c>
      <c r="D293" t="inlineStr">
        <is>
          <t>SUPRA</t>
        </is>
      </c>
    </row>
    <row r="294">
      <c r="A294" t="inlineStr">
        <is>
          <t>D SHED-X SUPLEMENTO NUTRI /PERROS 8 · 90329810000</t>
        </is>
      </c>
      <c r="B294" t="inlineStr">
        <is>
          <t>90329810000</t>
        </is>
      </c>
      <c r="C294" t="n">
        <v>4</v>
      </c>
      <c r="D294" t="inlineStr">
        <is>
          <t>SYNERGY</t>
        </is>
      </c>
    </row>
    <row r="295">
      <c r="A295" t="inlineStr">
        <is>
          <t>D TETRA REPTOMIN 1.94 OZ · 90410040000</t>
        </is>
      </c>
      <c r="B295" t="inlineStr">
        <is>
          <t>90410040000</t>
        </is>
      </c>
      <c r="C295" t="n">
        <v>14</v>
      </c>
      <c r="D295" t="inlineStr">
        <is>
          <t>TETRA</t>
        </is>
      </c>
    </row>
    <row r="296">
      <c r="A296" t="inlineStr">
        <is>
          <t>D TETRA REPTOMIN 10.59OZ · 90409640000</t>
        </is>
      </c>
      <c r="B296" t="inlineStr">
        <is>
          <t>90409640000</t>
        </is>
      </c>
      <c r="C296" t="n">
        <v>12</v>
      </c>
      <c r="D296" t="inlineStr">
        <is>
          <t>TETRA</t>
        </is>
      </c>
    </row>
    <row r="297">
      <c r="A297" t="inlineStr">
        <is>
          <t>D TETRAMIN HOJUELAS 28 GRAMOS · 93500740000</t>
        </is>
      </c>
      <c r="B297" t="inlineStr">
        <is>
          <t>93500740000</t>
        </is>
      </c>
      <c r="C297" t="n">
        <v>2</v>
      </c>
      <c r="D297" t="inlineStr">
        <is>
          <t>TETRA</t>
        </is>
      </c>
    </row>
    <row r="298">
      <c r="A298" t="inlineStr">
        <is>
          <t>TETRA GEL FIN DE SEMANA 2 UD 24G · 90407210000</t>
        </is>
      </c>
      <c r="B298" t="inlineStr">
        <is>
          <t>90407210000</t>
        </is>
      </c>
      <c r="C298" t="n">
        <v>3</v>
      </c>
      <c r="D298" t="inlineStr">
        <is>
          <t>TETRA</t>
        </is>
      </c>
    </row>
    <row r="299">
      <c r="A299" t="inlineStr">
        <is>
          <t>TETRA HOJUELA GOLDFISH 2.2OZ · 90409670000</t>
        </is>
      </c>
      <c r="B299" t="inlineStr">
        <is>
          <t>90409670000</t>
        </is>
      </c>
      <c r="C299" t="n">
        <v>34</v>
      </c>
      <c r="D299" t="inlineStr">
        <is>
          <t>TETRA</t>
        </is>
      </c>
    </row>
    <row r="300">
      <c r="A300" t="inlineStr">
        <is>
          <t>TETRA HOJUELAS GOLDFISH .42OZ · 90409900000</t>
        </is>
      </c>
      <c r="B300" t="inlineStr">
        <is>
          <t>90409900000</t>
        </is>
      </c>
      <c r="C300" t="n">
        <v>8</v>
      </c>
      <c r="D300" t="inlineStr">
        <is>
          <t>TETRA</t>
        </is>
      </c>
    </row>
    <row r="301">
      <c r="A301" t="inlineStr">
        <is>
          <t>TETRA HOJUELAS GOLDFISH 3.53OZ · 90409910000</t>
        </is>
      </c>
      <c r="B301" t="inlineStr">
        <is>
          <t>90409910000</t>
        </is>
      </c>
      <c r="C301" t="n">
        <v>3</v>
      </c>
      <c r="D301" t="inlineStr">
        <is>
          <t>TETRA</t>
        </is>
      </c>
    </row>
    <row r="302">
      <c r="A302" t="inlineStr">
        <is>
          <t>TETRA POND STICKS 2.53 LB · 90402260000</t>
        </is>
      </c>
      <c r="B302" t="inlineStr">
        <is>
          <t>90402260000</t>
        </is>
      </c>
      <c r="C302" t="n">
        <v>1</v>
      </c>
      <c r="D302" t="inlineStr">
        <is>
          <t>TETRA</t>
        </is>
      </c>
    </row>
    <row r="303">
      <c r="A303" t="inlineStr">
        <is>
          <t>TETRAFIN HOJUELAS GOLDFISH 1 OZ · 90410990000</t>
        </is>
      </c>
      <c r="B303" t="inlineStr">
        <is>
          <t>90410990000</t>
        </is>
      </c>
      <c r="C303" t="n">
        <v>10</v>
      </c>
      <c r="D303" t="inlineStr">
        <is>
          <t>TETRA</t>
        </is>
      </c>
    </row>
    <row r="304">
      <c r="A304" t="inlineStr">
        <is>
          <t>TETRAFIN HOJUELAS GOLDFISH 7.06 OZ · 90410490000</t>
        </is>
      </c>
      <c r="B304" t="inlineStr">
        <is>
          <t>90410490000</t>
        </is>
      </c>
      <c r="C304" t="n">
        <v>9</v>
      </c>
      <c r="D304" t="inlineStr">
        <is>
          <t>TETRA</t>
        </is>
      </c>
    </row>
    <row r="305">
      <c r="A305" t="inlineStr">
        <is>
          <t>TRIUMPH FS GRAIN FREE SALMON 26L · 93501390000</t>
        </is>
      </c>
      <c r="B305" t="inlineStr">
        <is>
          <t>93501390000</t>
        </is>
      </c>
      <c r="C305" t="n">
        <v>1</v>
      </c>
      <c r="D305" t="inlineStr">
        <is>
          <t>TRIUMPH</t>
        </is>
      </c>
    </row>
    <row r="306">
      <c r="A306" t="inlineStr">
        <is>
          <t>WHISKAS CARNE ORIGINAL 1.5KG · 90408360000</t>
        </is>
      </c>
      <c r="B306" t="inlineStr">
        <is>
          <t>90408360000</t>
        </is>
      </c>
      <c r="C306" t="n">
        <v>3</v>
      </c>
      <c r="D306" t="inlineStr">
        <is>
          <t>WHISKAS</t>
        </is>
      </c>
    </row>
    <row r="307">
      <c r="A307" t="inlineStr">
        <is>
          <t>WHISKAS CARNE ORIGINAL 3KG · 90028490000</t>
        </is>
      </c>
      <c r="B307" t="inlineStr">
        <is>
          <t>90028490000</t>
        </is>
      </c>
      <c r="C307" t="n">
        <v>3</v>
      </c>
      <c r="D307" t="inlineStr">
        <is>
          <t>WHISKAS</t>
        </is>
      </c>
    </row>
    <row r="308">
      <c r="A308" t="inlineStr">
        <is>
          <t>WHISKAS GATITOS 1.4KG · 93515190000</t>
        </is>
      </c>
      <c r="B308" t="inlineStr">
        <is>
          <t>93515190000</t>
        </is>
      </c>
      <c r="C308" t="n">
        <v>3</v>
      </c>
      <c r="D308" t="inlineStr">
        <is>
          <t>WHISKAS</t>
        </is>
      </c>
    </row>
    <row r="309">
      <c r="A309" t="inlineStr">
        <is>
          <t>WHISKAS PESCADO 1.5KG · 90301130000</t>
        </is>
      </c>
      <c r="B309" t="inlineStr">
        <is>
          <t>90301130000</t>
        </is>
      </c>
      <c r="C309" t="n">
        <v>4</v>
      </c>
      <c r="D309" t="inlineStr">
        <is>
          <t>WHISKAS</t>
        </is>
      </c>
    </row>
    <row r="310">
      <c r="A310" t="inlineStr">
        <is>
          <t>WHISKAS POUCH ATUN  85GR · 90409060000</t>
        </is>
      </c>
      <c r="B310" t="inlineStr">
        <is>
          <t>90409060000</t>
        </is>
      </c>
      <c r="C310" t="n">
        <v>10</v>
      </c>
      <c r="D310" t="inlineStr">
        <is>
          <t>WHISKAS</t>
        </is>
      </c>
    </row>
    <row r="311">
      <c r="A311" t="inlineStr">
        <is>
          <t>WHISKAS POUCH PARRIMIXTA 85GR. · 90028520000</t>
        </is>
      </c>
      <c r="B311" t="inlineStr">
        <is>
          <t>90028520000</t>
        </is>
      </c>
      <c r="C311" t="n">
        <v>17</v>
      </c>
      <c r="D311" t="inlineStr">
        <is>
          <t>WHISKAS</t>
        </is>
      </c>
    </row>
    <row r="312">
      <c r="A312" t="inlineStr">
        <is>
          <t>WHISKAS POUCH POLLO Y PAVO 85GR. · 90028550000</t>
        </is>
      </c>
      <c r="B312" t="inlineStr">
        <is>
          <t>90028550000</t>
        </is>
      </c>
      <c r="C312" t="n">
        <v>16</v>
      </c>
      <c r="D312" t="inlineStr">
        <is>
          <t>WHISKAS</t>
        </is>
      </c>
    </row>
    <row r="313">
      <c r="A313" t="inlineStr">
        <is>
          <t>WHISKAS POUCH RES  85GR · 90409070000</t>
        </is>
      </c>
      <c r="B313" t="inlineStr">
        <is>
          <t>90409070000</t>
        </is>
      </c>
      <c r="C313" t="n">
        <v>15</v>
      </c>
      <c r="D313" t="inlineStr">
        <is>
          <t>WHISKAS</t>
        </is>
      </c>
    </row>
    <row r="314">
      <c r="A314" t="inlineStr">
        <is>
          <t>D ZM ALIM GOURMET TORTUGA TERRESTR 12 · 93517610000</t>
        </is>
      </c>
      <c r="B314" t="inlineStr">
        <is>
          <t>93517610000</t>
        </is>
      </c>
      <c r="C314" t="n">
        <v>2</v>
      </c>
      <c r="D314" t="inlineStr">
        <is>
          <t>ZOO MED</t>
        </is>
      </c>
    </row>
    <row r="315">
      <c r="A315" t="inlineStr">
        <is>
          <t>D ZM CALCIO PARA AVES 3OZ · 93514810000</t>
        </is>
      </c>
      <c r="B315" t="inlineStr">
        <is>
          <t>93514810000</t>
        </is>
      </c>
      <c r="C315" t="n">
        <v>2</v>
      </c>
      <c r="D315" t="inlineStr">
        <is>
          <t>ZOO MED</t>
        </is>
      </c>
    </row>
    <row r="316">
      <c r="A316" t="inlineStr">
        <is>
          <t>ZM ALIM NATURAL TORTUGA ACUATICA 7 · 93517560000</t>
        </is>
      </c>
      <c r="B316" t="inlineStr">
        <is>
          <t>93517560000</t>
        </is>
      </c>
      <c r="C316" t="n">
        <v>11</v>
      </c>
      <c r="D316" t="inlineStr">
        <is>
          <t>ZOO MED</t>
        </is>
      </c>
    </row>
    <row r="317">
      <c r="A317" t="inlineStr">
        <is>
          <t>ZM ALIM TORTUGAS REPTISTICKS 141GR · 90415930000</t>
        </is>
      </c>
      <c r="B317" t="inlineStr">
        <is>
          <t>90415930000</t>
        </is>
      </c>
      <c r="C317" t="n">
        <v>1</v>
      </c>
      <c r="D317" t="inlineStr">
        <is>
          <t>ZOO MED</t>
        </is>
      </c>
    </row>
    <row r="318">
      <c r="A318" t="inlineStr">
        <is>
          <t>ZM ALIM TORTUGAS REPTISTICKS 28GR · 90415880000</t>
        </is>
      </c>
      <c r="B318" t="inlineStr">
        <is>
          <t>90415880000</t>
        </is>
      </c>
      <c r="C318" t="n">
        <v>18</v>
      </c>
      <c r="D318" t="inlineStr">
        <is>
          <t>ZOO MED</t>
        </is>
      </c>
    </row>
    <row r="319">
      <c r="A319" t="inlineStr">
        <is>
          <t>ZM CALCIO PQNO CON VEGETALES P/AVES · 93503060000</t>
        </is>
      </c>
      <c r="B319" t="inlineStr">
        <is>
          <t>93503060000</t>
        </is>
      </c>
      <c r="C319" t="n">
        <v>4</v>
      </c>
      <c r="D319" t="inlineStr">
        <is>
          <t>ZOO MED</t>
        </is>
      </c>
    </row>
    <row r="320">
      <c r="A320" t="inlineStr">
        <is>
          <t>ZM MICRO PELLET P/BETTA 0.12OZ · 93514830000</t>
        </is>
      </c>
      <c r="B320" t="inlineStr">
        <is>
          <t>93514830000</t>
        </is>
      </c>
      <c r="C320" t="n">
        <v>2</v>
      </c>
      <c r="D320" t="inlineStr">
        <is>
          <t>ZOO MED</t>
        </is>
      </c>
    </row>
    <row r="321">
      <c r="A321" t="inlineStr">
        <is>
          <t>ZM MICRO PELLETS P/BETTAS 0.65OZ · 93514840000</t>
        </is>
      </c>
      <c r="B321" t="inlineStr">
        <is>
          <t>93514840000</t>
        </is>
      </c>
      <c r="C321" t="n">
        <v>6</v>
      </c>
      <c r="D321" t="inlineStr">
        <is>
          <t>ZOO MED</t>
        </is>
      </c>
    </row>
    <row r="323">
      <c r="A323" t="inlineStr">
        <is>
          <t>Sucursal</t>
        </is>
      </c>
      <c r="B323" t="inlineStr">
        <is>
          <t>MELO &amp; CIA. | BOQUETE</t>
        </is>
      </c>
    </row>
    <row r="324">
      <c r="A324" t="inlineStr">
        <is>
          <t>Índice</t>
        </is>
      </c>
      <c r="B324" t="n">
        <v>51</v>
      </c>
    </row>
    <row r="325">
      <c r="A325" t="inlineStr">
        <is>
          <t>Inventario al</t>
        </is>
      </c>
      <c r="B325" t="inlineStr">
        <is>
          <t>21.10.2026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2026-10-21T17:30:13Z</dcterms:created>
  <dcterms:modified xmlns:dcterms="http://purl.org/dc/terms/" xmlns:xsi="http://www.w3.org/2001/XMLSchema-instance" xsi:type="dcterms:W3CDTF">2026-10-21T17:30:13Z</dcterms:modified>
</cp:coreProperties>
</file>