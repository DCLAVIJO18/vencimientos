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gue" sheetId="1" state="visible" r:id="rId1"/>
    <sheet xmlns:r="http://schemas.openxmlformats.org/officeDocument/2006/relationships" name="Listas" sheetId="2" state="hidden" r:id="rId2"/>
    <sheet xmlns:r="http://schemas.openxmlformats.org/officeDocument/2006/relationships" name="Productos" sheetId="3" state="hidden" r:id="rId3"/>
  </sheets>
  <definedNames>
    <definedName name="MARCA_1">Listas!$D$2:$D$8</definedName>
    <definedName name="MARCA_2">Listas!$E$2:$E$3</definedName>
    <definedName name="MARCA_3">Listas!$F$2:$F$9</definedName>
    <definedName name="MARCA_4">Listas!$G$2:$G$24</definedName>
    <definedName name="MARCA_5">Listas!$H$2:$H$3</definedName>
    <definedName name="MARCA_6">Listas!$I$2:$I$4</definedName>
    <definedName name="MARCA_7">Listas!$J$2:$J$7</definedName>
    <definedName name="MARCA_8">Listas!$K$2:$K$2</definedName>
    <definedName name="MARCA_9">Listas!$L$2:$L$3</definedName>
    <definedName name="MARCA_10">Listas!$M$2:$M$6</definedName>
    <definedName name="MARCA_11">Listas!$N$2:$N$5</definedName>
    <definedName name="MARCA_12">Listas!$O$2:$O$14</definedName>
    <definedName name="MARCA_13">Listas!$P$2:$P$43</definedName>
    <definedName name="MARCA_14">Listas!$Q$2:$Q$6</definedName>
    <definedName name="MARCA_15">Listas!$R$2:$R$13</definedName>
    <definedName name="MARCA_16">Listas!$S$2:$S$24</definedName>
    <definedName name="MARCA_17">Listas!$T$2:$T$13</definedName>
    <definedName name="MARCA_18">Listas!$U$2:$U$2</definedName>
    <definedName name="MARCA_19">Listas!$V$2:$V$3</definedName>
    <definedName name="MESES">Listas!$C$2:$C$5</definedName>
    <definedName name="MARCAS">Listas!$A$2:$A$20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6">
    <font>
      <name val="Calibri"/>
      <family val="2"/>
      <color theme="1"/>
      <sz val="11"/>
      <scheme val="minor"/>
    </font>
    <font>
      <name val="Arial"/>
      <b val="1"/>
    </font>
    <font>
      <name val="Arial"/>
      <i val="1"/>
      <color rgb="005A4F50"/>
      <sz val="9"/>
    </font>
    <font>
      <name val="Arial"/>
      <b val="1"/>
      <color rgb="00FFFFFF"/>
    </font>
    <font>
      <name val="Arial"/>
      <b val="1"/>
      <color rgb="00D4161E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FDE6E7"/>
      </patternFill>
    </fill>
    <fill>
      <patternFill patternType="solid">
        <fgColor rgb="00D4161E"/>
      </patternFill>
    </fill>
    <fill>
      <patternFill patternType="solid">
        <fgColor rgb="00FFE07A"/>
      </patternFill>
    </fill>
    <fill>
      <patternFill patternType="solid">
        <fgColor rgb="00FFF2A8"/>
      </patternFill>
    </fill>
    <fill>
      <patternFill patternType="solid">
        <fgColor rgb="00EFEFE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3" fillId="3" borderId="1" applyAlignment="1" pivotButton="0" quotePrefix="0" xfId="0">
      <alignment vertical="center" wrapText="1"/>
    </xf>
    <xf numFmtId="0" fontId="1" fillId="0" borderId="0" pivotButton="0" quotePrefix="0" xfId="0"/>
    <xf numFmtId="0" fontId="5" fillId="4" borderId="1" applyProtection="1" pivotButton="0" quotePrefix="0" xfId="0">
      <protection locked="0" hidden="0"/>
    </xf>
    <xf numFmtId="49" fontId="5" fillId="6" borderId="1" pivotButton="0" quotePrefix="0" xfId="0"/>
    <xf numFmtId="0" fontId="5" fillId="6" borderId="1" pivotButton="0" quotePrefix="0" xfId="0"/>
    <xf numFmtId="1" fontId="5" fillId="5" borderId="1" applyProtection="1" pivotButton="0" quotePrefix="0" xfId="0">
      <protection locked="0" hidden="0"/>
    </xf>
    <xf numFmtId="164" fontId="5" fillId="6" borderId="1" pivotButton="0" quotePrefix="0" xfId="0"/>
    <xf numFmtId="0" fontId="5" fillId="4" borderId="1" pivotButton="0" quotePrefix="0" xfId="0"/>
    <xf numFmtId="0" fontId="5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15" customWidth="1" min="3" max="3"/>
    <col width="14" customWidth="1" min="4" max="4"/>
    <col width="14" customWidth="1" min="5" max="5"/>
    <col width="12" customWidth="1" min="6" max="6"/>
    <col width="15" customWidth="1" min="7" max="7"/>
    <col width="15" customWidth="1" min="8" max="8"/>
    <col width="3" customWidth="1" min="9" max="9"/>
    <col width="58" customWidth="1" min="10" max="10"/>
  </cols>
  <sheetData>
    <row r="1" ht="62" customHeight="1">
      <c r="A1" s="1" t="inlineStr">
        <is>
          <t>Elige la MARCA de la lista desplegable.</t>
        </is>
      </c>
      <c r="B1" s="1" t="inlineStr">
        <is>
          <t>Elige el PRODUCTO de la lista. Solo salen los de la marca elegida en la columna A.</t>
        </is>
      </c>
      <c r="C1" s="1" t="inlineStr">
        <is>
          <t>Se llena solo. No escribas aquí.</t>
        </is>
      </c>
      <c r="D1" s="1" t="inlineStr">
        <is>
          <t>Se llena solo con lo que tiene tu tienda en sistema. No escribas aquí.</t>
        </is>
      </c>
      <c r="E1" s="1" t="inlineStr">
        <is>
          <t>ESCRIBE cuántas unidades vencen en esa fecha (número entero). No más de lo que hay en sistema.</t>
        </is>
      </c>
      <c r="F1" s="1" t="inlineStr">
        <is>
          <t>ESCRIBE solo el DÍA de vencimiento (número del 1 al 31).</t>
        </is>
      </c>
      <c r="G1" s="1" t="inlineStr">
        <is>
          <t>ELIGE el MES y AÑO de la lista (mm/aaaa). Solo salen el mes actual y los 3 siguientes.</t>
        </is>
      </c>
      <c r="H1" s="1" t="inlineStr">
        <is>
          <t>Se llena sola con día/mes/año. Revisa que sea la fecha correcta.</t>
        </is>
      </c>
      <c r="J1" s="2" t="inlineStr">
        <is>
          <t>Plantilla de HOSPITAL BRISAS DEL NORTE (Melo Pet &amp; Garden · ZONA 6 HOSPITALES). Un renglón por lote: si un producto tiene 2 fechas, ponlo en 2 renglones. Columnas amarillas = las llenas tú (la fecha va en Día + Mes/año). Grises = se llenan solas. Al terminar, guarda y súbela en el aplicativo con "Subir plantilla llena".</t>
        </is>
      </c>
    </row>
    <row r="2" ht="32" customHeight="1">
      <c r="A2" s="3" t="inlineStr">
        <is>
          <t>Marca</t>
        </is>
      </c>
      <c r="B2" s="3" t="inlineStr">
        <is>
          <t>Producto</t>
        </is>
      </c>
      <c r="C2" s="3" t="inlineStr">
        <is>
          <t>Código</t>
        </is>
      </c>
      <c r="D2" s="3" t="inlineStr">
        <is>
          <t>Inventario en sistema (u)</t>
        </is>
      </c>
      <c r="E2" s="3" t="inlineStr">
        <is>
          <t>Unidades por vencer</t>
        </is>
      </c>
      <c r="F2" s="3" t="inlineStr">
        <is>
          <t>Día de vencimiento</t>
        </is>
      </c>
      <c r="G2" s="3" t="inlineStr">
        <is>
          <t>Mes / año de vencimiento</t>
        </is>
      </c>
      <c r="H2" s="3" t="inlineStr">
        <is>
          <t>Fecha de vencimiento</t>
        </is>
      </c>
      <c r="J2" s="4" t="inlineStr">
        <is>
          <t>Leyenda</t>
        </is>
      </c>
    </row>
    <row r="3" ht="18" customHeight="1">
      <c r="A3" s="5" t="n"/>
      <c r="B3" s="5" t="n"/>
      <c r="C3" s="6">
        <f>IFERROR(INDEX(Productos!$B$2:$B$174,MATCH(B3,Productos!$A$2:$A$174,0)),"")</f>
        <v/>
      </c>
      <c r="D3" s="7">
        <f>IFERROR(INDEX(Productos!$C$2:$C$174,MATCH(B3,Productos!$A$2:$A$174,0)),"")</f>
        <v/>
      </c>
      <c r="E3" s="8" t="n"/>
      <c r="F3" s="8" t="n"/>
      <c r="G3" s="5" t="n"/>
      <c r="H3" s="9">
        <f>IF(AND(ISNUMBER(F3),G3&lt;&gt;""),IF(F3&gt;DAY(EOMONTH(DATE(VALUE(RIGHT(G3,4)),VALUE(LEFT(G3,2)),1),0)),"Ese día no existe en el mes",DATE(VALUE(RIGHT(G3,4)),VALUE(LEFT(G3,2)),F3)),"")</f>
        <v/>
      </c>
      <c r="J3" s="10" t="inlineStr">
        <is>
          <t>Elige de la lista</t>
        </is>
      </c>
    </row>
    <row r="4" ht="18" customHeight="1">
      <c r="A4" s="5" t="n"/>
      <c r="B4" s="5" t="n"/>
      <c r="C4" s="6">
        <f>IFERROR(INDEX(Productos!$B$2:$B$174,MATCH(B4,Productos!$A$2:$A$174,0)),"")</f>
        <v/>
      </c>
      <c r="D4" s="7">
        <f>IFERROR(INDEX(Productos!$C$2:$C$174,MATCH(B4,Productos!$A$2:$A$174,0)),"")</f>
        <v/>
      </c>
      <c r="E4" s="8" t="n"/>
      <c r="F4" s="8" t="n"/>
      <c r="G4" s="5" t="n"/>
      <c r="H4" s="9">
        <f>IF(AND(ISNUMBER(F4),G4&lt;&gt;""),IF(F4&gt;DAY(EOMONTH(DATE(VALUE(RIGHT(G4,4)),VALUE(LEFT(G4,2)),1),0)),"Ese día no existe en el mes",DATE(VALUE(RIGHT(G4,4)),VALUE(LEFT(G4,2)),F4)),"")</f>
        <v/>
      </c>
      <c r="J4" s="11" t="inlineStr">
        <is>
          <t>Escribe el dato</t>
        </is>
      </c>
    </row>
    <row r="5" ht="18" customHeight="1">
      <c r="A5" s="5" t="n"/>
      <c r="B5" s="5" t="n"/>
      <c r="C5" s="6">
        <f>IFERROR(INDEX(Productos!$B$2:$B$174,MATCH(B5,Productos!$A$2:$A$174,0)),"")</f>
        <v/>
      </c>
      <c r="D5" s="7">
        <f>IFERROR(INDEX(Productos!$C$2:$C$174,MATCH(B5,Productos!$A$2:$A$174,0)),"")</f>
        <v/>
      </c>
      <c r="E5" s="8" t="n"/>
      <c r="F5" s="8" t="n"/>
      <c r="G5" s="5" t="n"/>
      <c r="H5" s="9">
        <f>IF(AND(ISNUMBER(F5),G5&lt;&gt;""),IF(F5&gt;DAY(EOMONTH(DATE(VALUE(RIGHT(G5,4)),VALUE(LEFT(G5,2)),1),0)),"Ese día no existe en el mes",DATE(VALUE(RIGHT(G5,4)),VALUE(LEFT(G5,2)),F5)),"")</f>
        <v/>
      </c>
      <c r="J5" s="7" t="inlineStr">
        <is>
          <t>Automático, no tocar</t>
        </is>
      </c>
    </row>
    <row r="6" ht="18" customHeight="1">
      <c r="A6" s="5" t="n"/>
      <c r="B6" s="5" t="n"/>
      <c r="C6" s="6">
        <f>IFERROR(INDEX(Productos!$B$2:$B$174,MATCH(B6,Productos!$A$2:$A$174,0)),"")</f>
        <v/>
      </c>
      <c r="D6" s="7">
        <f>IFERROR(INDEX(Productos!$C$2:$C$174,MATCH(B6,Productos!$A$2:$A$174,0)),"")</f>
        <v/>
      </c>
      <c r="E6" s="8" t="n"/>
      <c r="F6" s="8" t="n"/>
      <c r="G6" s="5" t="n"/>
      <c r="H6" s="9">
        <f>IF(AND(ISNUMBER(F6),G6&lt;&gt;""),IF(F6&gt;DAY(EOMONTH(DATE(VALUE(RIGHT(G6,4)),VALUE(LEFT(G6,2)),1),0)),"Ese día no existe en el mes",DATE(VALUE(RIGHT(G6,4)),VALUE(LEFT(G6,2)),F6)),"")</f>
        <v/>
      </c>
    </row>
    <row r="7" ht="18" customHeight="1">
      <c r="A7" s="5" t="n"/>
      <c r="B7" s="5" t="n"/>
      <c r="C7" s="6">
        <f>IFERROR(INDEX(Productos!$B$2:$B$174,MATCH(B7,Productos!$A$2:$A$174,0)),"")</f>
        <v/>
      </c>
      <c r="D7" s="7">
        <f>IFERROR(INDEX(Productos!$C$2:$C$174,MATCH(B7,Productos!$A$2:$A$174,0)),"")</f>
        <v/>
      </c>
      <c r="E7" s="8" t="n"/>
      <c r="F7" s="8" t="n"/>
      <c r="G7" s="5" t="n"/>
      <c r="H7" s="9">
        <f>IF(AND(ISNUMBER(F7),G7&lt;&gt;""),IF(F7&gt;DAY(EOMONTH(DATE(VALUE(RIGHT(G7,4)),VALUE(LEFT(G7,2)),1),0)),"Ese día no existe en el mes",DATE(VALUE(RIGHT(G7,4)),VALUE(LEFT(G7,2)),F7)),"")</f>
        <v/>
      </c>
    </row>
    <row r="8" ht="18" customHeight="1">
      <c r="A8" s="5" t="n"/>
      <c r="B8" s="5" t="n"/>
      <c r="C8" s="6">
        <f>IFERROR(INDEX(Productos!$B$2:$B$174,MATCH(B8,Productos!$A$2:$A$174,0)),"")</f>
        <v/>
      </c>
      <c r="D8" s="7">
        <f>IFERROR(INDEX(Productos!$C$2:$C$174,MATCH(B8,Productos!$A$2:$A$174,0)),"")</f>
        <v/>
      </c>
      <c r="E8" s="8" t="n"/>
      <c r="F8" s="8" t="n"/>
      <c r="G8" s="5" t="n"/>
      <c r="H8" s="9">
        <f>IF(AND(ISNUMBER(F8),G8&lt;&gt;""),IF(F8&gt;DAY(EOMONTH(DATE(VALUE(RIGHT(G8,4)),VALUE(LEFT(G8,2)),1),0)),"Ese día no existe en el mes",DATE(VALUE(RIGHT(G8,4)),VALUE(LEFT(G8,2)),F8)),"")</f>
        <v/>
      </c>
    </row>
    <row r="9" ht="18" customHeight="1">
      <c r="A9" s="5" t="n"/>
      <c r="B9" s="5" t="n"/>
      <c r="C9" s="6">
        <f>IFERROR(INDEX(Productos!$B$2:$B$174,MATCH(B9,Productos!$A$2:$A$174,0)),"")</f>
        <v/>
      </c>
      <c r="D9" s="7">
        <f>IFERROR(INDEX(Productos!$C$2:$C$174,MATCH(B9,Productos!$A$2:$A$174,0)),"")</f>
        <v/>
      </c>
      <c r="E9" s="8" t="n"/>
      <c r="F9" s="8" t="n"/>
      <c r="G9" s="5" t="n"/>
      <c r="H9" s="9">
        <f>IF(AND(ISNUMBER(F9),G9&lt;&gt;""),IF(F9&gt;DAY(EOMONTH(DATE(VALUE(RIGHT(G9,4)),VALUE(LEFT(G9,2)),1),0)),"Ese día no existe en el mes",DATE(VALUE(RIGHT(G9,4)),VALUE(LEFT(G9,2)),F9)),"")</f>
        <v/>
      </c>
    </row>
    <row r="10" ht="18" customHeight="1">
      <c r="A10" s="5" t="n"/>
      <c r="B10" s="5" t="n"/>
      <c r="C10" s="6">
        <f>IFERROR(INDEX(Productos!$B$2:$B$174,MATCH(B10,Productos!$A$2:$A$174,0)),"")</f>
        <v/>
      </c>
      <c r="D10" s="7">
        <f>IFERROR(INDEX(Productos!$C$2:$C$174,MATCH(B10,Productos!$A$2:$A$174,0)),"")</f>
        <v/>
      </c>
      <c r="E10" s="8" t="n"/>
      <c r="F10" s="8" t="n"/>
      <c r="G10" s="5" t="n"/>
      <c r="H10" s="9">
        <f>IF(AND(ISNUMBER(F10),G10&lt;&gt;""),IF(F10&gt;DAY(EOMONTH(DATE(VALUE(RIGHT(G10,4)),VALUE(LEFT(G10,2)),1),0)),"Ese día no existe en el mes",DATE(VALUE(RIGHT(G10,4)),VALUE(LEFT(G10,2)),F10)),"")</f>
        <v/>
      </c>
    </row>
    <row r="11" ht="18" customHeight="1">
      <c r="A11" s="5" t="n"/>
      <c r="B11" s="5" t="n"/>
      <c r="C11" s="6">
        <f>IFERROR(INDEX(Productos!$B$2:$B$174,MATCH(B11,Productos!$A$2:$A$174,0)),"")</f>
        <v/>
      </c>
      <c r="D11" s="7">
        <f>IFERROR(INDEX(Productos!$C$2:$C$174,MATCH(B11,Productos!$A$2:$A$174,0)),"")</f>
        <v/>
      </c>
      <c r="E11" s="8" t="n"/>
      <c r="F11" s="8" t="n"/>
      <c r="G11" s="5" t="n"/>
      <c r="H11" s="9">
        <f>IF(AND(ISNUMBER(F11),G11&lt;&gt;""),IF(F11&gt;DAY(EOMONTH(DATE(VALUE(RIGHT(G11,4)),VALUE(LEFT(G11,2)),1),0)),"Ese día no existe en el mes",DATE(VALUE(RIGHT(G11,4)),VALUE(LEFT(G11,2)),F11)),"")</f>
        <v/>
      </c>
    </row>
    <row r="12" ht="18" customHeight="1">
      <c r="A12" s="5" t="n"/>
      <c r="B12" s="5" t="n"/>
      <c r="C12" s="6">
        <f>IFERROR(INDEX(Productos!$B$2:$B$174,MATCH(B12,Productos!$A$2:$A$174,0)),"")</f>
        <v/>
      </c>
      <c r="D12" s="7">
        <f>IFERROR(INDEX(Productos!$C$2:$C$174,MATCH(B12,Productos!$A$2:$A$174,0)),"")</f>
        <v/>
      </c>
      <c r="E12" s="8" t="n"/>
      <c r="F12" s="8" t="n"/>
      <c r="G12" s="5" t="n"/>
      <c r="H12" s="9">
        <f>IF(AND(ISNUMBER(F12),G12&lt;&gt;""),IF(F12&gt;DAY(EOMONTH(DATE(VALUE(RIGHT(G12,4)),VALUE(LEFT(G12,2)),1),0)),"Ese día no existe en el mes",DATE(VALUE(RIGHT(G12,4)),VALUE(LEFT(G12,2)),F12)),"")</f>
        <v/>
      </c>
    </row>
    <row r="13" ht="18" customHeight="1">
      <c r="A13" s="5" t="n"/>
      <c r="B13" s="5" t="n"/>
      <c r="C13" s="6">
        <f>IFERROR(INDEX(Productos!$B$2:$B$174,MATCH(B13,Productos!$A$2:$A$174,0)),"")</f>
        <v/>
      </c>
      <c r="D13" s="7">
        <f>IFERROR(INDEX(Productos!$C$2:$C$174,MATCH(B13,Productos!$A$2:$A$174,0)),"")</f>
        <v/>
      </c>
      <c r="E13" s="8" t="n"/>
      <c r="F13" s="8" t="n"/>
      <c r="G13" s="5" t="n"/>
      <c r="H13" s="9">
        <f>IF(AND(ISNUMBER(F13),G13&lt;&gt;""),IF(F13&gt;DAY(EOMONTH(DATE(VALUE(RIGHT(G13,4)),VALUE(LEFT(G13,2)),1),0)),"Ese día no existe en el mes",DATE(VALUE(RIGHT(G13,4)),VALUE(LEFT(G13,2)),F13)),"")</f>
        <v/>
      </c>
    </row>
    <row r="14" ht="18" customHeight="1">
      <c r="A14" s="5" t="n"/>
      <c r="B14" s="5" t="n"/>
      <c r="C14" s="6">
        <f>IFERROR(INDEX(Productos!$B$2:$B$174,MATCH(B14,Productos!$A$2:$A$174,0)),"")</f>
        <v/>
      </c>
      <c r="D14" s="7">
        <f>IFERROR(INDEX(Productos!$C$2:$C$174,MATCH(B14,Productos!$A$2:$A$174,0)),"")</f>
        <v/>
      </c>
      <c r="E14" s="8" t="n"/>
      <c r="F14" s="8" t="n"/>
      <c r="G14" s="5" t="n"/>
      <c r="H14" s="9">
        <f>IF(AND(ISNUMBER(F14),G14&lt;&gt;""),IF(F14&gt;DAY(EOMONTH(DATE(VALUE(RIGHT(G14,4)),VALUE(LEFT(G14,2)),1),0)),"Ese día no existe en el mes",DATE(VALUE(RIGHT(G14,4)),VALUE(LEFT(G14,2)),F14)),"")</f>
        <v/>
      </c>
    </row>
    <row r="15" ht="18" customHeight="1">
      <c r="A15" s="5" t="n"/>
      <c r="B15" s="5" t="n"/>
      <c r="C15" s="6">
        <f>IFERROR(INDEX(Productos!$B$2:$B$174,MATCH(B15,Productos!$A$2:$A$174,0)),"")</f>
        <v/>
      </c>
      <c r="D15" s="7">
        <f>IFERROR(INDEX(Productos!$C$2:$C$174,MATCH(B15,Productos!$A$2:$A$174,0)),"")</f>
        <v/>
      </c>
      <c r="E15" s="8" t="n"/>
      <c r="F15" s="8" t="n"/>
      <c r="G15" s="5" t="n"/>
      <c r="H15" s="9">
        <f>IF(AND(ISNUMBER(F15),G15&lt;&gt;""),IF(F15&gt;DAY(EOMONTH(DATE(VALUE(RIGHT(G15,4)),VALUE(LEFT(G15,2)),1),0)),"Ese día no existe en el mes",DATE(VALUE(RIGHT(G15,4)),VALUE(LEFT(G15,2)),F15)),"")</f>
        <v/>
      </c>
    </row>
    <row r="16" ht="18" customHeight="1">
      <c r="A16" s="5" t="n"/>
      <c r="B16" s="5" t="n"/>
      <c r="C16" s="6">
        <f>IFERROR(INDEX(Productos!$B$2:$B$174,MATCH(B16,Productos!$A$2:$A$174,0)),"")</f>
        <v/>
      </c>
      <c r="D16" s="7">
        <f>IFERROR(INDEX(Productos!$C$2:$C$174,MATCH(B16,Productos!$A$2:$A$174,0)),"")</f>
        <v/>
      </c>
      <c r="E16" s="8" t="n"/>
      <c r="F16" s="8" t="n"/>
      <c r="G16" s="5" t="n"/>
      <c r="H16" s="9">
        <f>IF(AND(ISNUMBER(F16),G16&lt;&gt;""),IF(F16&gt;DAY(EOMONTH(DATE(VALUE(RIGHT(G16,4)),VALUE(LEFT(G16,2)),1),0)),"Ese día no existe en el mes",DATE(VALUE(RIGHT(G16,4)),VALUE(LEFT(G16,2)),F16)),"")</f>
        <v/>
      </c>
    </row>
    <row r="17" ht="18" customHeight="1">
      <c r="A17" s="5" t="n"/>
      <c r="B17" s="5" t="n"/>
      <c r="C17" s="6">
        <f>IFERROR(INDEX(Productos!$B$2:$B$174,MATCH(B17,Productos!$A$2:$A$174,0)),"")</f>
        <v/>
      </c>
      <c r="D17" s="7">
        <f>IFERROR(INDEX(Productos!$C$2:$C$174,MATCH(B17,Productos!$A$2:$A$174,0)),"")</f>
        <v/>
      </c>
      <c r="E17" s="8" t="n"/>
      <c r="F17" s="8" t="n"/>
      <c r="G17" s="5" t="n"/>
      <c r="H17" s="9">
        <f>IF(AND(ISNUMBER(F17),G17&lt;&gt;""),IF(F17&gt;DAY(EOMONTH(DATE(VALUE(RIGHT(G17,4)),VALUE(LEFT(G17,2)),1),0)),"Ese día no existe en el mes",DATE(VALUE(RIGHT(G17,4)),VALUE(LEFT(G17,2)),F17)),"")</f>
        <v/>
      </c>
    </row>
    <row r="18" ht="18" customHeight="1">
      <c r="A18" s="5" t="n"/>
      <c r="B18" s="5" t="n"/>
      <c r="C18" s="6">
        <f>IFERROR(INDEX(Productos!$B$2:$B$174,MATCH(B18,Productos!$A$2:$A$174,0)),"")</f>
        <v/>
      </c>
      <c r="D18" s="7">
        <f>IFERROR(INDEX(Productos!$C$2:$C$174,MATCH(B18,Productos!$A$2:$A$174,0)),"")</f>
        <v/>
      </c>
      <c r="E18" s="8" t="n"/>
      <c r="F18" s="8" t="n"/>
      <c r="G18" s="5" t="n"/>
      <c r="H18" s="9">
        <f>IF(AND(ISNUMBER(F18),G18&lt;&gt;""),IF(F18&gt;DAY(EOMONTH(DATE(VALUE(RIGHT(G18,4)),VALUE(LEFT(G18,2)),1),0)),"Ese día no existe en el mes",DATE(VALUE(RIGHT(G18,4)),VALUE(LEFT(G18,2)),F18)),"")</f>
        <v/>
      </c>
    </row>
    <row r="19" ht="18" customHeight="1">
      <c r="A19" s="5" t="n"/>
      <c r="B19" s="5" t="n"/>
      <c r="C19" s="6">
        <f>IFERROR(INDEX(Productos!$B$2:$B$174,MATCH(B19,Productos!$A$2:$A$174,0)),"")</f>
        <v/>
      </c>
      <c r="D19" s="7">
        <f>IFERROR(INDEX(Productos!$C$2:$C$174,MATCH(B19,Productos!$A$2:$A$174,0)),"")</f>
        <v/>
      </c>
      <c r="E19" s="8" t="n"/>
      <c r="F19" s="8" t="n"/>
      <c r="G19" s="5" t="n"/>
      <c r="H19" s="9">
        <f>IF(AND(ISNUMBER(F19),G19&lt;&gt;""),IF(F19&gt;DAY(EOMONTH(DATE(VALUE(RIGHT(G19,4)),VALUE(LEFT(G19,2)),1),0)),"Ese día no existe en el mes",DATE(VALUE(RIGHT(G19,4)),VALUE(LEFT(G19,2)),F19)),"")</f>
        <v/>
      </c>
    </row>
    <row r="20" ht="18" customHeight="1">
      <c r="A20" s="5" t="n"/>
      <c r="B20" s="5" t="n"/>
      <c r="C20" s="6">
        <f>IFERROR(INDEX(Productos!$B$2:$B$174,MATCH(B20,Productos!$A$2:$A$174,0)),"")</f>
        <v/>
      </c>
      <c r="D20" s="7">
        <f>IFERROR(INDEX(Productos!$C$2:$C$174,MATCH(B20,Productos!$A$2:$A$174,0)),"")</f>
        <v/>
      </c>
      <c r="E20" s="8" t="n"/>
      <c r="F20" s="8" t="n"/>
      <c r="G20" s="5" t="n"/>
      <c r="H20" s="9">
        <f>IF(AND(ISNUMBER(F20),G20&lt;&gt;""),IF(F20&gt;DAY(EOMONTH(DATE(VALUE(RIGHT(G20,4)),VALUE(LEFT(G20,2)),1),0)),"Ese día no existe en el mes",DATE(VALUE(RIGHT(G20,4)),VALUE(LEFT(G20,2)),F20)),"")</f>
        <v/>
      </c>
    </row>
    <row r="21" ht="18" customHeight="1">
      <c r="A21" s="5" t="n"/>
      <c r="B21" s="5" t="n"/>
      <c r="C21" s="6">
        <f>IFERROR(INDEX(Productos!$B$2:$B$174,MATCH(B21,Productos!$A$2:$A$174,0)),"")</f>
        <v/>
      </c>
      <c r="D21" s="7">
        <f>IFERROR(INDEX(Productos!$C$2:$C$174,MATCH(B21,Productos!$A$2:$A$174,0)),"")</f>
        <v/>
      </c>
      <c r="E21" s="8" t="n"/>
      <c r="F21" s="8" t="n"/>
      <c r="G21" s="5" t="n"/>
      <c r="H21" s="9">
        <f>IF(AND(ISNUMBER(F21),G21&lt;&gt;""),IF(F21&gt;DAY(EOMONTH(DATE(VALUE(RIGHT(G21,4)),VALUE(LEFT(G21,2)),1),0)),"Ese día no existe en el mes",DATE(VALUE(RIGHT(G21,4)),VALUE(LEFT(G21,2)),F21)),"")</f>
        <v/>
      </c>
    </row>
    <row r="22" ht="18" customHeight="1">
      <c r="A22" s="5" t="n"/>
      <c r="B22" s="5" t="n"/>
      <c r="C22" s="6">
        <f>IFERROR(INDEX(Productos!$B$2:$B$174,MATCH(B22,Productos!$A$2:$A$174,0)),"")</f>
        <v/>
      </c>
      <c r="D22" s="7">
        <f>IFERROR(INDEX(Productos!$C$2:$C$174,MATCH(B22,Productos!$A$2:$A$174,0)),"")</f>
        <v/>
      </c>
      <c r="E22" s="8" t="n"/>
      <c r="F22" s="8" t="n"/>
      <c r="G22" s="5" t="n"/>
      <c r="H22" s="9">
        <f>IF(AND(ISNUMBER(F22),G22&lt;&gt;""),IF(F22&gt;DAY(EOMONTH(DATE(VALUE(RIGHT(G22,4)),VALUE(LEFT(G22,2)),1),0)),"Ese día no existe en el mes",DATE(VALUE(RIGHT(G22,4)),VALUE(LEFT(G22,2)),F22)),"")</f>
        <v/>
      </c>
    </row>
    <row r="23" ht="18" customHeight="1">
      <c r="A23" s="5" t="n"/>
      <c r="B23" s="5" t="n"/>
      <c r="C23" s="6">
        <f>IFERROR(INDEX(Productos!$B$2:$B$174,MATCH(B23,Productos!$A$2:$A$174,0)),"")</f>
        <v/>
      </c>
      <c r="D23" s="7">
        <f>IFERROR(INDEX(Productos!$C$2:$C$174,MATCH(B23,Productos!$A$2:$A$174,0)),"")</f>
        <v/>
      </c>
      <c r="E23" s="8" t="n"/>
      <c r="F23" s="8" t="n"/>
      <c r="G23" s="5" t="n"/>
      <c r="H23" s="9">
        <f>IF(AND(ISNUMBER(F23),G23&lt;&gt;""),IF(F23&gt;DAY(EOMONTH(DATE(VALUE(RIGHT(G23,4)),VALUE(LEFT(G23,2)),1),0)),"Ese día no existe en el mes",DATE(VALUE(RIGHT(G23,4)),VALUE(LEFT(G23,2)),F23)),"")</f>
        <v/>
      </c>
    </row>
    <row r="24" ht="18" customHeight="1">
      <c r="A24" s="5" t="n"/>
      <c r="B24" s="5" t="n"/>
      <c r="C24" s="6">
        <f>IFERROR(INDEX(Productos!$B$2:$B$174,MATCH(B24,Productos!$A$2:$A$174,0)),"")</f>
        <v/>
      </c>
      <c r="D24" s="7">
        <f>IFERROR(INDEX(Productos!$C$2:$C$174,MATCH(B24,Productos!$A$2:$A$174,0)),"")</f>
        <v/>
      </c>
      <c r="E24" s="8" t="n"/>
      <c r="F24" s="8" t="n"/>
      <c r="G24" s="5" t="n"/>
      <c r="H24" s="9">
        <f>IF(AND(ISNUMBER(F24),G24&lt;&gt;""),IF(F24&gt;DAY(EOMONTH(DATE(VALUE(RIGHT(G24,4)),VALUE(LEFT(G24,2)),1),0)),"Ese día no existe en el mes",DATE(VALUE(RIGHT(G24,4)),VALUE(LEFT(G24,2)),F24)),"")</f>
        <v/>
      </c>
    </row>
    <row r="25" ht="18" customHeight="1">
      <c r="A25" s="5" t="n"/>
      <c r="B25" s="5" t="n"/>
      <c r="C25" s="6">
        <f>IFERROR(INDEX(Productos!$B$2:$B$174,MATCH(B25,Productos!$A$2:$A$174,0)),"")</f>
        <v/>
      </c>
      <c r="D25" s="7">
        <f>IFERROR(INDEX(Productos!$C$2:$C$174,MATCH(B25,Productos!$A$2:$A$174,0)),"")</f>
        <v/>
      </c>
      <c r="E25" s="8" t="n"/>
      <c r="F25" s="8" t="n"/>
      <c r="G25" s="5" t="n"/>
      <c r="H25" s="9">
        <f>IF(AND(ISNUMBER(F25),G25&lt;&gt;""),IF(F25&gt;DAY(EOMONTH(DATE(VALUE(RIGHT(G25,4)),VALUE(LEFT(G25,2)),1),0)),"Ese día no existe en el mes",DATE(VALUE(RIGHT(G25,4)),VALUE(LEFT(G25,2)),F25)),"")</f>
        <v/>
      </c>
    </row>
    <row r="26" ht="18" customHeight="1">
      <c r="A26" s="5" t="n"/>
      <c r="B26" s="5" t="n"/>
      <c r="C26" s="6">
        <f>IFERROR(INDEX(Productos!$B$2:$B$174,MATCH(B26,Productos!$A$2:$A$174,0)),"")</f>
        <v/>
      </c>
      <c r="D26" s="7">
        <f>IFERROR(INDEX(Productos!$C$2:$C$174,MATCH(B26,Productos!$A$2:$A$174,0)),"")</f>
        <v/>
      </c>
      <c r="E26" s="8" t="n"/>
      <c r="F26" s="8" t="n"/>
      <c r="G26" s="5" t="n"/>
      <c r="H26" s="9">
        <f>IF(AND(ISNUMBER(F26),G26&lt;&gt;""),IF(F26&gt;DAY(EOMONTH(DATE(VALUE(RIGHT(G26,4)),VALUE(LEFT(G26,2)),1),0)),"Ese día no existe en el mes",DATE(VALUE(RIGHT(G26,4)),VALUE(LEFT(G26,2)),F26)),"")</f>
        <v/>
      </c>
    </row>
    <row r="27" ht="18" customHeight="1">
      <c r="A27" s="5" t="n"/>
      <c r="B27" s="5" t="n"/>
      <c r="C27" s="6">
        <f>IFERROR(INDEX(Productos!$B$2:$B$174,MATCH(B27,Productos!$A$2:$A$174,0)),"")</f>
        <v/>
      </c>
      <c r="D27" s="7">
        <f>IFERROR(INDEX(Productos!$C$2:$C$174,MATCH(B27,Productos!$A$2:$A$174,0)),"")</f>
        <v/>
      </c>
      <c r="E27" s="8" t="n"/>
      <c r="F27" s="8" t="n"/>
      <c r="G27" s="5" t="n"/>
      <c r="H27" s="9">
        <f>IF(AND(ISNUMBER(F27),G27&lt;&gt;""),IF(F27&gt;DAY(EOMONTH(DATE(VALUE(RIGHT(G27,4)),VALUE(LEFT(G27,2)),1),0)),"Ese día no existe en el mes",DATE(VALUE(RIGHT(G27,4)),VALUE(LEFT(G27,2)),F27)),"")</f>
        <v/>
      </c>
    </row>
    <row r="28" ht="18" customHeight="1">
      <c r="A28" s="5" t="n"/>
      <c r="B28" s="5" t="n"/>
      <c r="C28" s="6">
        <f>IFERROR(INDEX(Productos!$B$2:$B$174,MATCH(B28,Productos!$A$2:$A$174,0)),"")</f>
        <v/>
      </c>
      <c r="D28" s="7">
        <f>IFERROR(INDEX(Productos!$C$2:$C$174,MATCH(B28,Productos!$A$2:$A$174,0)),"")</f>
        <v/>
      </c>
      <c r="E28" s="8" t="n"/>
      <c r="F28" s="8" t="n"/>
      <c r="G28" s="5" t="n"/>
      <c r="H28" s="9">
        <f>IF(AND(ISNUMBER(F28),G28&lt;&gt;""),IF(F28&gt;DAY(EOMONTH(DATE(VALUE(RIGHT(G28,4)),VALUE(LEFT(G28,2)),1),0)),"Ese día no existe en el mes",DATE(VALUE(RIGHT(G28,4)),VALUE(LEFT(G28,2)),F28)),"")</f>
        <v/>
      </c>
    </row>
    <row r="29" ht="18" customHeight="1">
      <c r="A29" s="5" t="n"/>
      <c r="B29" s="5" t="n"/>
      <c r="C29" s="6">
        <f>IFERROR(INDEX(Productos!$B$2:$B$174,MATCH(B29,Productos!$A$2:$A$174,0)),"")</f>
        <v/>
      </c>
      <c r="D29" s="7">
        <f>IFERROR(INDEX(Productos!$C$2:$C$174,MATCH(B29,Productos!$A$2:$A$174,0)),"")</f>
        <v/>
      </c>
      <c r="E29" s="8" t="n"/>
      <c r="F29" s="8" t="n"/>
      <c r="G29" s="5" t="n"/>
      <c r="H29" s="9">
        <f>IF(AND(ISNUMBER(F29),G29&lt;&gt;""),IF(F29&gt;DAY(EOMONTH(DATE(VALUE(RIGHT(G29,4)),VALUE(LEFT(G29,2)),1),0)),"Ese día no existe en el mes",DATE(VALUE(RIGHT(G29,4)),VALUE(LEFT(G29,2)),F29)),"")</f>
        <v/>
      </c>
    </row>
    <row r="30" ht="18" customHeight="1">
      <c r="A30" s="5" t="n"/>
      <c r="B30" s="5" t="n"/>
      <c r="C30" s="6">
        <f>IFERROR(INDEX(Productos!$B$2:$B$174,MATCH(B30,Productos!$A$2:$A$174,0)),"")</f>
        <v/>
      </c>
      <c r="D30" s="7">
        <f>IFERROR(INDEX(Productos!$C$2:$C$174,MATCH(B30,Productos!$A$2:$A$174,0)),"")</f>
        <v/>
      </c>
      <c r="E30" s="8" t="n"/>
      <c r="F30" s="8" t="n"/>
      <c r="G30" s="5" t="n"/>
      <c r="H30" s="9">
        <f>IF(AND(ISNUMBER(F30),G30&lt;&gt;""),IF(F30&gt;DAY(EOMONTH(DATE(VALUE(RIGHT(G30,4)),VALUE(LEFT(G30,2)),1),0)),"Ese día no existe en el mes",DATE(VALUE(RIGHT(G30,4)),VALUE(LEFT(G30,2)),F30)),"")</f>
        <v/>
      </c>
    </row>
    <row r="31" ht="18" customHeight="1">
      <c r="A31" s="5" t="n"/>
      <c r="B31" s="5" t="n"/>
      <c r="C31" s="6">
        <f>IFERROR(INDEX(Productos!$B$2:$B$174,MATCH(B31,Productos!$A$2:$A$174,0)),"")</f>
        <v/>
      </c>
      <c r="D31" s="7">
        <f>IFERROR(INDEX(Productos!$C$2:$C$174,MATCH(B31,Productos!$A$2:$A$174,0)),"")</f>
        <v/>
      </c>
      <c r="E31" s="8" t="n"/>
      <c r="F31" s="8" t="n"/>
      <c r="G31" s="5" t="n"/>
      <c r="H31" s="9">
        <f>IF(AND(ISNUMBER(F31),G31&lt;&gt;""),IF(F31&gt;DAY(EOMONTH(DATE(VALUE(RIGHT(G31,4)),VALUE(LEFT(G31,2)),1),0)),"Ese día no existe en el mes",DATE(VALUE(RIGHT(G31,4)),VALUE(LEFT(G31,2)),F31)),"")</f>
        <v/>
      </c>
    </row>
    <row r="32" ht="18" customHeight="1">
      <c r="A32" s="5" t="n"/>
      <c r="B32" s="5" t="n"/>
      <c r="C32" s="6">
        <f>IFERROR(INDEX(Productos!$B$2:$B$174,MATCH(B32,Productos!$A$2:$A$174,0)),"")</f>
        <v/>
      </c>
      <c r="D32" s="7">
        <f>IFERROR(INDEX(Productos!$C$2:$C$174,MATCH(B32,Productos!$A$2:$A$174,0)),"")</f>
        <v/>
      </c>
      <c r="E32" s="8" t="n"/>
      <c r="F32" s="8" t="n"/>
      <c r="G32" s="5" t="n"/>
      <c r="H32" s="9">
        <f>IF(AND(ISNUMBER(F32),G32&lt;&gt;""),IF(F32&gt;DAY(EOMONTH(DATE(VALUE(RIGHT(G32,4)),VALUE(LEFT(G32,2)),1),0)),"Ese día no existe en el mes",DATE(VALUE(RIGHT(G32,4)),VALUE(LEFT(G32,2)),F32)),"")</f>
        <v/>
      </c>
    </row>
    <row r="33" ht="18" customHeight="1">
      <c r="A33" s="5" t="n"/>
      <c r="B33" s="5" t="n"/>
      <c r="C33" s="6">
        <f>IFERROR(INDEX(Productos!$B$2:$B$174,MATCH(B33,Productos!$A$2:$A$174,0)),"")</f>
        <v/>
      </c>
      <c r="D33" s="7">
        <f>IFERROR(INDEX(Productos!$C$2:$C$174,MATCH(B33,Productos!$A$2:$A$174,0)),"")</f>
        <v/>
      </c>
      <c r="E33" s="8" t="n"/>
      <c r="F33" s="8" t="n"/>
      <c r="G33" s="5" t="n"/>
      <c r="H33" s="9">
        <f>IF(AND(ISNUMBER(F33),G33&lt;&gt;""),IF(F33&gt;DAY(EOMONTH(DATE(VALUE(RIGHT(G33,4)),VALUE(LEFT(G33,2)),1),0)),"Ese día no existe en el mes",DATE(VALUE(RIGHT(G33,4)),VALUE(LEFT(G33,2)),F33)),"")</f>
        <v/>
      </c>
    </row>
    <row r="34" ht="18" customHeight="1">
      <c r="A34" s="5" t="n"/>
      <c r="B34" s="5" t="n"/>
      <c r="C34" s="6">
        <f>IFERROR(INDEX(Productos!$B$2:$B$174,MATCH(B34,Productos!$A$2:$A$174,0)),"")</f>
        <v/>
      </c>
      <c r="D34" s="7">
        <f>IFERROR(INDEX(Productos!$C$2:$C$174,MATCH(B34,Productos!$A$2:$A$174,0)),"")</f>
        <v/>
      </c>
      <c r="E34" s="8" t="n"/>
      <c r="F34" s="8" t="n"/>
      <c r="G34" s="5" t="n"/>
      <c r="H34" s="9">
        <f>IF(AND(ISNUMBER(F34),G34&lt;&gt;""),IF(F34&gt;DAY(EOMONTH(DATE(VALUE(RIGHT(G34,4)),VALUE(LEFT(G34,2)),1),0)),"Ese día no existe en el mes",DATE(VALUE(RIGHT(G34,4)),VALUE(LEFT(G34,2)),F34)),"")</f>
        <v/>
      </c>
    </row>
    <row r="35" ht="18" customHeight="1">
      <c r="A35" s="5" t="n"/>
      <c r="B35" s="5" t="n"/>
      <c r="C35" s="6">
        <f>IFERROR(INDEX(Productos!$B$2:$B$174,MATCH(B35,Productos!$A$2:$A$174,0)),"")</f>
        <v/>
      </c>
      <c r="D35" s="7">
        <f>IFERROR(INDEX(Productos!$C$2:$C$174,MATCH(B35,Productos!$A$2:$A$174,0)),"")</f>
        <v/>
      </c>
      <c r="E35" s="8" t="n"/>
      <c r="F35" s="8" t="n"/>
      <c r="G35" s="5" t="n"/>
      <c r="H35" s="9">
        <f>IF(AND(ISNUMBER(F35),G35&lt;&gt;""),IF(F35&gt;DAY(EOMONTH(DATE(VALUE(RIGHT(G35,4)),VALUE(LEFT(G35,2)),1),0)),"Ese día no existe en el mes",DATE(VALUE(RIGHT(G35,4)),VALUE(LEFT(G35,2)),F35)),"")</f>
        <v/>
      </c>
    </row>
    <row r="36" ht="18" customHeight="1">
      <c r="A36" s="5" t="n"/>
      <c r="B36" s="5" t="n"/>
      <c r="C36" s="6">
        <f>IFERROR(INDEX(Productos!$B$2:$B$174,MATCH(B36,Productos!$A$2:$A$174,0)),"")</f>
        <v/>
      </c>
      <c r="D36" s="7">
        <f>IFERROR(INDEX(Productos!$C$2:$C$174,MATCH(B36,Productos!$A$2:$A$174,0)),"")</f>
        <v/>
      </c>
      <c r="E36" s="8" t="n"/>
      <c r="F36" s="8" t="n"/>
      <c r="G36" s="5" t="n"/>
      <c r="H36" s="9">
        <f>IF(AND(ISNUMBER(F36),G36&lt;&gt;""),IF(F36&gt;DAY(EOMONTH(DATE(VALUE(RIGHT(G36,4)),VALUE(LEFT(G36,2)),1),0)),"Ese día no existe en el mes",DATE(VALUE(RIGHT(G36,4)),VALUE(LEFT(G36,2)),F36)),"")</f>
        <v/>
      </c>
    </row>
    <row r="37" ht="18" customHeight="1">
      <c r="A37" s="5" t="n"/>
      <c r="B37" s="5" t="n"/>
      <c r="C37" s="6">
        <f>IFERROR(INDEX(Productos!$B$2:$B$174,MATCH(B37,Productos!$A$2:$A$174,0)),"")</f>
        <v/>
      </c>
      <c r="D37" s="7">
        <f>IFERROR(INDEX(Productos!$C$2:$C$174,MATCH(B37,Productos!$A$2:$A$174,0)),"")</f>
        <v/>
      </c>
      <c r="E37" s="8" t="n"/>
      <c r="F37" s="8" t="n"/>
      <c r="G37" s="5" t="n"/>
      <c r="H37" s="9">
        <f>IF(AND(ISNUMBER(F37),G37&lt;&gt;""),IF(F37&gt;DAY(EOMONTH(DATE(VALUE(RIGHT(G37,4)),VALUE(LEFT(G37,2)),1),0)),"Ese día no existe en el mes",DATE(VALUE(RIGHT(G37,4)),VALUE(LEFT(G37,2)),F37)),"")</f>
        <v/>
      </c>
    </row>
    <row r="38" ht="18" customHeight="1">
      <c r="A38" s="5" t="n"/>
      <c r="B38" s="5" t="n"/>
      <c r="C38" s="6">
        <f>IFERROR(INDEX(Productos!$B$2:$B$174,MATCH(B38,Productos!$A$2:$A$174,0)),"")</f>
        <v/>
      </c>
      <c r="D38" s="7">
        <f>IFERROR(INDEX(Productos!$C$2:$C$174,MATCH(B38,Productos!$A$2:$A$174,0)),"")</f>
        <v/>
      </c>
      <c r="E38" s="8" t="n"/>
      <c r="F38" s="8" t="n"/>
      <c r="G38" s="5" t="n"/>
      <c r="H38" s="9">
        <f>IF(AND(ISNUMBER(F38),G38&lt;&gt;""),IF(F38&gt;DAY(EOMONTH(DATE(VALUE(RIGHT(G38,4)),VALUE(LEFT(G38,2)),1),0)),"Ese día no existe en el mes",DATE(VALUE(RIGHT(G38,4)),VALUE(LEFT(G38,2)),F38)),"")</f>
        <v/>
      </c>
    </row>
    <row r="39" ht="18" customHeight="1">
      <c r="A39" s="5" t="n"/>
      <c r="B39" s="5" t="n"/>
      <c r="C39" s="6">
        <f>IFERROR(INDEX(Productos!$B$2:$B$174,MATCH(B39,Productos!$A$2:$A$174,0)),"")</f>
        <v/>
      </c>
      <c r="D39" s="7">
        <f>IFERROR(INDEX(Productos!$C$2:$C$174,MATCH(B39,Productos!$A$2:$A$174,0)),"")</f>
        <v/>
      </c>
      <c r="E39" s="8" t="n"/>
      <c r="F39" s="8" t="n"/>
      <c r="G39" s="5" t="n"/>
      <c r="H39" s="9">
        <f>IF(AND(ISNUMBER(F39),G39&lt;&gt;""),IF(F39&gt;DAY(EOMONTH(DATE(VALUE(RIGHT(G39,4)),VALUE(LEFT(G39,2)),1),0)),"Ese día no existe en el mes",DATE(VALUE(RIGHT(G39,4)),VALUE(LEFT(G39,2)),F39)),"")</f>
        <v/>
      </c>
    </row>
    <row r="40" ht="18" customHeight="1">
      <c r="A40" s="5" t="n"/>
      <c r="B40" s="5" t="n"/>
      <c r="C40" s="6">
        <f>IFERROR(INDEX(Productos!$B$2:$B$174,MATCH(B40,Productos!$A$2:$A$174,0)),"")</f>
        <v/>
      </c>
      <c r="D40" s="7">
        <f>IFERROR(INDEX(Productos!$C$2:$C$174,MATCH(B40,Productos!$A$2:$A$174,0)),"")</f>
        <v/>
      </c>
      <c r="E40" s="8" t="n"/>
      <c r="F40" s="8" t="n"/>
      <c r="G40" s="5" t="n"/>
      <c r="H40" s="9">
        <f>IF(AND(ISNUMBER(F40),G40&lt;&gt;""),IF(F40&gt;DAY(EOMONTH(DATE(VALUE(RIGHT(G40,4)),VALUE(LEFT(G40,2)),1),0)),"Ese día no existe en el mes",DATE(VALUE(RIGHT(G40,4)),VALUE(LEFT(G40,2)),F40)),"")</f>
        <v/>
      </c>
    </row>
    <row r="41" ht="18" customHeight="1">
      <c r="A41" s="5" t="n"/>
      <c r="B41" s="5" t="n"/>
      <c r="C41" s="6">
        <f>IFERROR(INDEX(Productos!$B$2:$B$174,MATCH(B41,Productos!$A$2:$A$174,0)),"")</f>
        <v/>
      </c>
      <c r="D41" s="7">
        <f>IFERROR(INDEX(Productos!$C$2:$C$174,MATCH(B41,Productos!$A$2:$A$174,0)),"")</f>
        <v/>
      </c>
      <c r="E41" s="8" t="n"/>
      <c r="F41" s="8" t="n"/>
      <c r="G41" s="5" t="n"/>
      <c r="H41" s="9">
        <f>IF(AND(ISNUMBER(F41),G41&lt;&gt;""),IF(F41&gt;DAY(EOMONTH(DATE(VALUE(RIGHT(G41,4)),VALUE(LEFT(G41,2)),1),0)),"Ese día no existe en el mes",DATE(VALUE(RIGHT(G41,4)),VALUE(LEFT(G41,2)),F41)),"")</f>
        <v/>
      </c>
    </row>
    <row r="42" ht="18" customHeight="1">
      <c r="A42" s="5" t="n"/>
      <c r="B42" s="5" t="n"/>
      <c r="C42" s="6">
        <f>IFERROR(INDEX(Productos!$B$2:$B$174,MATCH(B42,Productos!$A$2:$A$174,0)),"")</f>
        <v/>
      </c>
      <c r="D42" s="7">
        <f>IFERROR(INDEX(Productos!$C$2:$C$174,MATCH(B42,Productos!$A$2:$A$174,0)),"")</f>
        <v/>
      </c>
      <c r="E42" s="8" t="n"/>
      <c r="F42" s="8" t="n"/>
      <c r="G42" s="5" t="n"/>
      <c r="H42" s="9">
        <f>IF(AND(ISNUMBER(F42),G42&lt;&gt;""),IF(F42&gt;DAY(EOMONTH(DATE(VALUE(RIGHT(G42,4)),VALUE(LEFT(G42,2)),1),0)),"Ese día no existe en el mes",DATE(VALUE(RIGHT(G42,4)),VALUE(LEFT(G42,2)),F42)),"")</f>
        <v/>
      </c>
    </row>
    <row r="43" ht="18" customHeight="1">
      <c r="A43" s="5" t="n"/>
      <c r="B43" s="5" t="n"/>
      <c r="C43" s="6">
        <f>IFERROR(INDEX(Productos!$B$2:$B$174,MATCH(B43,Productos!$A$2:$A$174,0)),"")</f>
        <v/>
      </c>
      <c r="D43" s="7">
        <f>IFERROR(INDEX(Productos!$C$2:$C$174,MATCH(B43,Productos!$A$2:$A$174,0)),"")</f>
        <v/>
      </c>
      <c r="E43" s="8" t="n"/>
      <c r="F43" s="8" t="n"/>
      <c r="G43" s="5" t="n"/>
      <c r="H43" s="9">
        <f>IF(AND(ISNUMBER(F43),G43&lt;&gt;""),IF(F43&gt;DAY(EOMONTH(DATE(VALUE(RIGHT(G43,4)),VALUE(LEFT(G43,2)),1),0)),"Ese día no existe en el mes",DATE(VALUE(RIGHT(G43,4)),VALUE(LEFT(G43,2)),F43)),"")</f>
        <v/>
      </c>
    </row>
    <row r="44" ht="18" customHeight="1">
      <c r="A44" s="5" t="n"/>
      <c r="B44" s="5" t="n"/>
      <c r="C44" s="6">
        <f>IFERROR(INDEX(Productos!$B$2:$B$174,MATCH(B44,Productos!$A$2:$A$174,0)),"")</f>
        <v/>
      </c>
      <c r="D44" s="7">
        <f>IFERROR(INDEX(Productos!$C$2:$C$174,MATCH(B44,Productos!$A$2:$A$174,0)),"")</f>
        <v/>
      </c>
      <c r="E44" s="8" t="n"/>
      <c r="F44" s="8" t="n"/>
      <c r="G44" s="5" t="n"/>
      <c r="H44" s="9">
        <f>IF(AND(ISNUMBER(F44),G44&lt;&gt;""),IF(F44&gt;DAY(EOMONTH(DATE(VALUE(RIGHT(G44,4)),VALUE(LEFT(G44,2)),1),0)),"Ese día no existe en el mes",DATE(VALUE(RIGHT(G44,4)),VALUE(LEFT(G44,2)),F44)),"")</f>
        <v/>
      </c>
    </row>
    <row r="45" ht="18" customHeight="1">
      <c r="A45" s="5" t="n"/>
      <c r="B45" s="5" t="n"/>
      <c r="C45" s="6">
        <f>IFERROR(INDEX(Productos!$B$2:$B$174,MATCH(B45,Productos!$A$2:$A$174,0)),"")</f>
        <v/>
      </c>
      <c r="D45" s="7">
        <f>IFERROR(INDEX(Productos!$C$2:$C$174,MATCH(B45,Productos!$A$2:$A$174,0)),"")</f>
        <v/>
      </c>
      <c r="E45" s="8" t="n"/>
      <c r="F45" s="8" t="n"/>
      <c r="G45" s="5" t="n"/>
      <c r="H45" s="9">
        <f>IF(AND(ISNUMBER(F45),G45&lt;&gt;""),IF(F45&gt;DAY(EOMONTH(DATE(VALUE(RIGHT(G45,4)),VALUE(LEFT(G45,2)),1),0)),"Ese día no existe en el mes",DATE(VALUE(RIGHT(G45,4)),VALUE(LEFT(G45,2)),F45)),"")</f>
        <v/>
      </c>
    </row>
    <row r="46" ht="18" customHeight="1">
      <c r="A46" s="5" t="n"/>
      <c r="B46" s="5" t="n"/>
      <c r="C46" s="6">
        <f>IFERROR(INDEX(Productos!$B$2:$B$174,MATCH(B46,Productos!$A$2:$A$174,0)),"")</f>
        <v/>
      </c>
      <c r="D46" s="7">
        <f>IFERROR(INDEX(Productos!$C$2:$C$174,MATCH(B46,Productos!$A$2:$A$174,0)),"")</f>
        <v/>
      </c>
      <c r="E46" s="8" t="n"/>
      <c r="F46" s="8" t="n"/>
      <c r="G46" s="5" t="n"/>
      <c r="H46" s="9">
        <f>IF(AND(ISNUMBER(F46),G46&lt;&gt;""),IF(F46&gt;DAY(EOMONTH(DATE(VALUE(RIGHT(G46,4)),VALUE(LEFT(G46,2)),1),0)),"Ese día no existe en el mes",DATE(VALUE(RIGHT(G46,4)),VALUE(LEFT(G46,2)),F46)),"")</f>
        <v/>
      </c>
    </row>
    <row r="47" ht="18" customHeight="1">
      <c r="A47" s="5" t="n"/>
      <c r="B47" s="5" t="n"/>
      <c r="C47" s="6">
        <f>IFERROR(INDEX(Productos!$B$2:$B$174,MATCH(B47,Productos!$A$2:$A$174,0)),"")</f>
        <v/>
      </c>
      <c r="D47" s="7">
        <f>IFERROR(INDEX(Productos!$C$2:$C$174,MATCH(B47,Productos!$A$2:$A$174,0)),"")</f>
        <v/>
      </c>
      <c r="E47" s="8" t="n"/>
      <c r="F47" s="8" t="n"/>
      <c r="G47" s="5" t="n"/>
      <c r="H47" s="9">
        <f>IF(AND(ISNUMBER(F47),G47&lt;&gt;""),IF(F47&gt;DAY(EOMONTH(DATE(VALUE(RIGHT(G47,4)),VALUE(LEFT(G47,2)),1),0)),"Ese día no existe en el mes",DATE(VALUE(RIGHT(G47,4)),VALUE(LEFT(G47,2)),F47)),"")</f>
        <v/>
      </c>
    </row>
    <row r="48" ht="18" customHeight="1">
      <c r="A48" s="5" t="n"/>
      <c r="B48" s="5" t="n"/>
      <c r="C48" s="6">
        <f>IFERROR(INDEX(Productos!$B$2:$B$174,MATCH(B48,Productos!$A$2:$A$174,0)),"")</f>
        <v/>
      </c>
      <c r="D48" s="7">
        <f>IFERROR(INDEX(Productos!$C$2:$C$174,MATCH(B48,Productos!$A$2:$A$174,0)),"")</f>
        <v/>
      </c>
      <c r="E48" s="8" t="n"/>
      <c r="F48" s="8" t="n"/>
      <c r="G48" s="5" t="n"/>
      <c r="H48" s="9">
        <f>IF(AND(ISNUMBER(F48),G48&lt;&gt;""),IF(F48&gt;DAY(EOMONTH(DATE(VALUE(RIGHT(G48,4)),VALUE(LEFT(G48,2)),1),0)),"Ese día no existe en el mes",DATE(VALUE(RIGHT(G48,4)),VALUE(LEFT(G48,2)),F48)),"")</f>
        <v/>
      </c>
    </row>
    <row r="49" ht="18" customHeight="1">
      <c r="A49" s="5" t="n"/>
      <c r="B49" s="5" t="n"/>
      <c r="C49" s="6">
        <f>IFERROR(INDEX(Productos!$B$2:$B$174,MATCH(B49,Productos!$A$2:$A$174,0)),"")</f>
        <v/>
      </c>
      <c r="D49" s="7">
        <f>IFERROR(INDEX(Productos!$C$2:$C$174,MATCH(B49,Productos!$A$2:$A$174,0)),"")</f>
        <v/>
      </c>
      <c r="E49" s="8" t="n"/>
      <c r="F49" s="8" t="n"/>
      <c r="G49" s="5" t="n"/>
      <c r="H49" s="9">
        <f>IF(AND(ISNUMBER(F49),G49&lt;&gt;""),IF(F49&gt;DAY(EOMONTH(DATE(VALUE(RIGHT(G49,4)),VALUE(LEFT(G49,2)),1),0)),"Ese día no existe en el mes",DATE(VALUE(RIGHT(G49,4)),VALUE(LEFT(G49,2)),F49)),"")</f>
        <v/>
      </c>
    </row>
    <row r="50" ht="18" customHeight="1">
      <c r="A50" s="5" t="n"/>
      <c r="B50" s="5" t="n"/>
      <c r="C50" s="6">
        <f>IFERROR(INDEX(Productos!$B$2:$B$174,MATCH(B50,Productos!$A$2:$A$174,0)),"")</f>
        <v/>
      </c>
      <c r="D50" s="7">
        <f>IFERROR(INDEX(Productos!$C$2:$C$174,MATCH(B50,Productos!$A$2:$A$174,0)),"")</f>
        <v/>
      </c>
      <c r="E50" s="8" t="n"/>
      <c r="F50" s="8" t="n"/>
      <c r="G50" s="5" t="n"/>
      <c r="H50" s="9">
        <f>IF(AND(ISNUMBER(F50),G50&lt;&gt;""),IF(F50&gt;DAY(EOMONTH(DATE(VALUE(RIGHT(G50,4)),VALUE(LEFT(G50,2)),1),0)),"Ese día no existe en el mes",DATE(VALUE(RIGHT(G50,4)),VALUE(LEFT(G50,2)),F50)),"")</f>
        <v/>
      </c>
    </row>
    <row r="51" ht="18" customHeight="1">
      <c r="A51" s="5" t="n"/>
      <c r="B51" s="5" t="n"/>
      <c r="C51" s="6">
        <f>IFERROR(INDEX(Productos!$B$2:$B$174,MATCH(B51,Productos!$A$2:$A$174,0)),"")</f>
        <v/>
      </c>
      <c r="D51" s="7">
        <f>IFERROR(INDEX(Productos!$C$2:$C$174,MATCH(B51,Productos!$A$2:$A$174,0)),"")</f>
        <v/>
      </c>
      <c r="E51" s="8" t="n"/>
      <c r="F51" s="8" t="n"/>
      <c r="G51" s="5" t="n"/>
      <c r="H51" s="9">
        <f>IF(AND(ISNUMBER(F51),G51&lt;&gt;""),IF(F51&gt;DAY(EOMONTH(DATE(VALUE(RIGHT(G51,4)),VALUE(LEFT(G51,2)),1),0)),"Ese día no existe en el mes",DATE(VALUE(RIGHT(G51,4)),VALUE(LEFT(G51,2)),F51)),"")</f>
        <v/>
      </c>
    </row>
    <row r="52" ht="18" customHeight="1">
      <c r="A52" s="5" t="n"/>
      <c r="B52" s="5" t="n"/>
      <c r="C52" s="6">
        <f>IFERROR(INDEX(Productos!$B$2:$B$174,MATCH(B52,Productos!$A$2:$A$174,0)),"")</f>
        <v/>
      </c>
      <c r="D52" s="7">
        <f>IFERROR(INDEX(Productos!$C$2:$C$174,MATCH(B52,Productos!$A$2:$A$174,0)),"")</f>
        <v/>
      </c>
      <c r="E52" s="8" t="n"/>
      <c r="F52" s="8" t="n"/>
      <c r="G52" s="5" t="n"/>
      <c r="H52" s="9">
        <f>IF(AND(ISNUMBER(F52),G52&lt;&gt;""),IF(F52&gt;DAY(EOMONTH(DATE(VALUE(RIGHT(G52,4)),VALUE(LEFT(G52,2)),1),0)),"Ese día no existe en el mes",DATE(VALUE(RIGHT(G52,4)),VALUE(LEFT(G52,2)),F52)),"")</f>
        <v/>
      </c>
    </row>
    <row r="53" ht="18" customHeight="1">
      <c r="A53" s="5" t="n"/>
      <c r="B53" s="5" t="n"/>
      <c r="C53" s="6">
        <f>IFERROR(INDEX(Productos!$B$2:$B$174,MATCH(B53,Productos!$A$2:$A$174,0)),"")</f>
        <v/>
      </c>
      <c r="D53" s="7">
        <f>IFERROR(INDEX(Productos!$C$2:$C$174,MATCH(B53,Productos!$A$2:$A$174,0)),"")</f>
        <v/>
      </c>
      <c r="E53" s="8" t="n"/>
      <c r="F53" s="8" t="n"/>
      <c r="G53" s="5" t="n"/>
      <c r="H53" s="9">
        <f>IF(AND(ISNUMBER(F53),G53&lt;&gt;""),IF(F53&gt;DAY(EOMONTH(DATE(VALUE(RIGHT(G53,4)),VALUE(LEFT(G53,2)),1),0)),"Ese día no existe en el mes",DATE(VALUE(RIGHT(G53,4)),VALUE(LEFT(G53,2)),F53)),"")</f>
        <v/>
      </c>
    </row>
    <row r="54" ht="18" customHeight="1">
      <c r="A54" s="5" t="n"/>
      <c r="B54" s="5" t="n"/>
      <c r="C54" s="6">
        <f>IFERROR(INDEX(Productos!$B$2:$B$174,MATCH(B54,Productos!$A$2:$A$174,0)),"")</f>
        <v/>
      </c>
      <c r="D54" s="7">
        <f>IFERROR(INDEX(Productos!$C$2:$C$174,MATCH(B54,Productos!$A$2:$A$174,0)),"")</f>
        <v/>
      </c>
      <c r="E54" s="8" t="n"/>
      <c r="F54" s="8" t="n"/>
      <c r="G54" s="5" t="n"/>
      <c r="H54" s="9">
        <f>IF(AND(ISNUMBER(F54),G54&lt;&gt;""),IF(F54&gt;DAY(EOMONTH(DATE(VALUE(RIGHT(G54,4)),VALUE(LEFT(G54,2)),1),0)),"Ese día no existe en el mes",DATE(VALUE(RIGHT(G54,4)),VALUE(LEFT(G54,2)),F54)),"")</f>
        <v/>
      </c>
    </row>
    <row r="55" ht="18" customHeight="1">
      <c r="A55" s="5" t="n"/>
      <c r="B55" s="5" t="n"/>
      <c r="C55" s="6">
        <f>IFERROR(INDEX(Productos!$B$2:$B$174,MATCH(B55,Productos!$A$2:$A$174,0)),"")</f>
        <v/>
      </c>
      <c r="D55" s="7">
        <f>IFERROR(INDEX(Productos!$C$2:$C$174,MATCH(B55,Productos!$A$2:$A$174,0)),"")</f>
        <v/>
      </c>
      <c r="E55" s="8" t="n"/>
      <c r="F55" s="8" t="n"/>
      <c r="G55" s="5" t="n"/>
      <c r="H55" s="9">
        <f>IF(AND(ISNUMBER(F55),G55&lt;&gt;""),IF(F55&gt;DAY(EOMONTH(DATE(VALUE(RIGHT(G55,4)),VALUE(LEFT(G55,2)),1),0)),"Ese día no existe en el mes",DATE(VALUE(RIGHT(G55,4)),VALUE(LEFT(G55,2)),F55)),"")</f>
        <v/>
      </c>
    </row>
    <row r="56" ht="18" customHeight="1">
      <c r="A56" s="5" t="n"/>
      <c r="B56" s="5" t="n"/>
      <c r="C56" s="6">
        <f>IFERROR(INDEX(Productos!$B$2:$B$174,MATCH(B56,Productos!$A$2:$A$174,0)),"")</f>
        <v/>
      </c>
      <c r="D56" s="7">
        <f>IFERROR(INDEX(Productos!$C$2:$C$174,MATCH(B56,Productos!$A$2:$A$174,0)),"")</f>
        <v/>
      </c>
      <c r="E56" s="8" t="n"/>
      <c r="F56" s="8" t="n"/>
      <c r="G56" s="5" t="n"/>
      <c r="H56" s="9">
        <f>IF(AND(ISNUMBER(F56),G56&lt;&gt;""),IF(F56&gt;DAY(EOMONTH(DATE(VALUE(RIGHT(G56,4)),VALUE(LEFT(G56,2)),1),0)),"Ese día no existe en el mes",DATE(VALUE(RIGHT(G56,4)),VALUE(LEFT(G56,2)),F56)),"")</f>
        <v/>
      </c>
    </row>
    <row r="57" ht="18" customHeight="1">
      <c r="A57" s="5" t="n"/>
      <c r="B57" s="5" t="n"/>
      <c r="C57" s="6">
        <f>IFERROR(INDEX(Productos!$B$2:$B$174,MATCH(B57,Productos!$A$2:$A$174,0)),"")</f>
        <v/>
      </c>
      <c r="D57" s="7">
        <f>IFERROR(INDEX(Productos!$C$2:$C$174,MATCH(B57,Productos!$A$2:$A$174,0)),"")</f>
        <v/>
      </c>
      <c r="E57" s="8" t="n"/>
      <c r="F57" s="8" t="n"/>
      <c r="G57" s="5" t="n"/>
      <c r="H57" s="9">
        <f>IF(AND(ISNUMBER(F57),G57&lt;&gt;""),IF(F57&gt;DAY(EOMONTH(DATE(VALUE(RIGHT(G57,4)),VALUE(LEFT(G57,2)),1),0)),"Ese día no existe en el mes",DATE(VALUE(RIGHT(G57,4)),VALUE(LEFT(G57,2)),F57)),"")</f>
        <v/>
      </c>
    </row>
    <row r="58" ht="18" customHeight="1">
      <c r="A58" s="5" t="n"/>
      <c r="B58" s="5" t="n"/>
      <c r="C58" s="6">
        <f>IFERROR(INDEX(Productos!$B$2:$B$174,MATCH(B58,Productos!$A$2:$A$174,0)),"")</f>
        <v/>
      </c>
      <c r="D58" s="7">
        <f>IFERROR(INDEX(Productos!$C$2:$C$174,MATCH(B58,Productos!$A$2:$A$174,0)),"")</f>
        <v/>
      </c>
      <c r="E58" s="8" t="n"/>
      <c r="F58" s="8" t="n"/>
      <c r="G58" s="5" t="n"/>
      <c r="H58" s="9">
        <f>IF(AND(ISNUMBER(F58),G58&lt;&gt;""),IF(F58&gt;DAY(EOMONTH(DATE(VALUE(RIGHT(G58,4)),VALUE(LEFT(G58,2)),1),0)),"Ese día no existe en el mes",DATE(VALUE(RIGHT(G58,4)),VALUE(LEFT(G58,2)),F58)),"")</f>
        <v/>
      </c>
    </row>
    <row r="59" ht="18" customHeight="1">
      <c r="A59" s="5" t="n"/>
      <c r="B59" s="5" t="n"/>
      <c r="C59" s="6">
        <f>IFERROR(INDEX(Productos!$B$2:$B$174,MATCH(B59,Productos!$A$2:$A$174,0)),"")</f>
        <v/>
      </c>
      <c r="D59" s="7">
        <f>IFERROR(INDEX(Productos!$C$2:$C$174,MATCH(B59,Productos!$A$2:$A$174,0)),"")</f>
        <v/>
      </c>
      <c r="E59" s="8" t="n"/>
      <c r="F59" s="8" t="n"/>
      <c r="G59" s="5" t="n"/>
      <c r="H59" s="9">
        <f>IF(AND(ISNUMBER(F59),G59&lt;&gt;""),IF(F59&gt;DAY(EOMONTH(DATE(VALUE(RIGHT(G59,4)),VALUE(LEFT(G59,2)),1),0)),"Ese día no existe en el mes",DATE(VALUE(RIGHT(G59,4)),VALUE(LEFT(G59,2)),F59)),"")</f>
        <v/>
      </c>
    </row>
    <row r="60" ht="18" customHeight="1">
      <c r="A60" s="5" t="n"/>
      <c r="B60" s="5" t="n"/>
      <c r="C60" s="6">
        <f>IFERROR(INDEX(Productos!$B$2:$B$174,MATCH(B60,Productos!$A$2:$A$174,0)),"")</f>
        <v/>
      </c>
      <c r="D60" s="7">
        <f>IFERROR(INDEX(Productos!$C$2:$C$174,MATCH(B60,Productos!$A$2:$A$174,0)),"")</f>
        <v/>
      </c>
      <c r="E60" s="8" t="n"/>
      <c r="F60" s="8" t="n"/>
      <c r="G60" s="5" t="n"/>
      <c r="H60" s="9">
        <f>IF(AND(ISNUMBER(F60),G60&lt;&gt;""),IF(F60&gt;DAY(EOMONTH(DATE(VALUE(RIGHT(G60,4)),VALUE(LEFT(G60,2)),1),0)),"Ese día no existe en el mes",DATE(VALUE(RIGHT(G60,4)),VALUE(LEFT(G60,2)),F60)),"")</f>
        <v/>
      </c>
    </row>
    <row r="61" ht="18" customHeight="1">
      <c r="A61" s="5" t="n"/>
      <c r="B61" s="5" t="n"/>
      <c r="C61" s="6">
        <f>IFERROR(INDEX(Productos!$B$2:$B$174,MATCH(B61,Productos!$A$2:$A$174,0)),"")</f>
        <v/>
      </c>
      <c r="D61" s="7">
        <f>IFERROR(INDEX(Productos!$C$2:$C$174,MATCH(B61,Productos!$A$2:$A$174,0)),"")</f>
        <v/>
      </c>
      <c r="E61" s="8" t="n"/>
      <c r="F61" s="8" t="n"/>
      <c r="G61" s="5" t="n"/>
      <c r="H61" s="9">
        <f>IF(AND(ISNUMBER(F61),G61&lt;&gt;""),IF(F61&gt;DAY(EOMONTH(DATE(VALUE(RIGHT(G61,4)),VALUE(LEFT(G61,2)),1),0)),"Ese día no existe en el mes",DATE(VALUE(RIGHT(G61,4)),VALUE(LEFT(G61,2)),F61)),"")</f>
        <v/>
      </c>
    </row>
    <row r="62" ht="18" customHeight="1">
      <c r="A62" s="5" t="n"/>
      <c r="B62" s="5" t="n"/>
      <c r="C62" s="6">
        <f>IFERROR(INDEX(Productos!$B$2:$B$174,MATCH(B62,Productos!$A$2:$A$174,0)),"")</f>
        <v/>
      </c>
      <c r="D62" s="7">
        <f>IFERROR(INDEX(Productos!$C$2:$C$174,MATCH(B62,Productos!$A$2:$A$174,0)),"")</f>
        <v/>
      </c>
      <c r="E62" s="8" t="n"/>
      <c r="F62" s="8" t="n"/>
      <c r="G62" s="5" t="n"/>
      <c r="H62" s="9">
        <f>IF(AND(ISNUMBER(F62),G62&lt;&gt;""),IF(F62&gt;DAY(EOMONTH(DATE(VALUE(RIGHT(G62,4)),VALUE(LEFT(G62,2)),1),0)),"Ese día no existe en el mes",DATE(VALUE(RIGHT(G62,4)),VALUE(LEFT(G62,2)),F62)),"")</f>
        <v/>
      </c>
    </row>
    <row r="63" ht="18" customHeight="1">
      <c r="A63" s="5" t="n"/>
      <c r="B63" s="5" t="n"/>
      <c r="C63" s="6">
        <f>IFERROR(INDEX(Productos!$B$2:$B$174,MATCH(B63,Productos!$A$2:$A$174,0)),"")</f>
        <v/>
      </c>
      <c r="D63" s="7">
        <f>IFERROR(INDEX(Productos!$C$2:$C$174,MATCH(B63,Productos!$A$2:$A$174,0)),"")</f>
        <v/>
      </c>
      <c r="E63" s="8" t="n"/>
      <c r="F63" s="8" t="n"/>
      <c r="G63" s="5" t="n"/>
      <c r="H63" s="9">
        <f>IF(AND(ISNUMBER(F63),G63&lt;&gt;""),IF(F63&gt;DAY(EOMONTH(DATE(VALUE(RIGHT(G63,4)),VALUE(LEFT(G63,2)),1),0)),"Ese día no existe en el mes",DATE(VALUE(RIGHT(G63,4)),VALUE(LEFT(G63,2)),F63)),"")</f>
        <v/>
      </c>
    </row>
    <row r="64" ht="18" customHeight="1">
      <c r="A64" s="5" t="n"/>
      <c r="B64" s="5" t="n"/>
      <c r="C64" s="6">
        <f>IFERROR(INDEX(Productos!$B$2:$B$174,MATCH(B64,Productos!$A$2:$A$174,0)),"")</f>
        <v/>
      </c>
      <c r="D64" s="7">
        <f>IFERROR(INDEX(Productos!$C$2:$C$174,MATCH(B64,Productos!$A$2:$A$174,0)),"")</f>
        <v/>
      </c>
      <c r="E64" s="8" t="n"/>
      <c r="F64" s="8" t="n"/>
      <c r="G64" s="5" t="n"/>
      <c r="H64" s="9">
        <f>IF(AND(ISNUMBER(F64),G64&lt;&gt;""),IF(F64&gt;DAY(EOMONTH(DATE(VALUE(RIGHT(G64,4)),VALUE(LEFT(G64,2)),1),0)),"Ese día no existe en el mes",DATE(VALUE(RIGHT(G64,4)),VALUE(LEFT(G64,2)),F64)),"")</f>
        <v/>
      </c>
    </row>
    <row r="65" ht="18" customHeight="1">
      <c r="A65" s="5" t="n"/>
      <c r="B65" s="5" t="n"/>
      <c r="C65" s="6">
        <f>IFERROR(INDEX(Productos!$B$2:$B$174,MATCH(B65,Productos!$A$2:$A$174,0)),"")</f>
        <v/>
      </c>
      <c r="D65" s="7">
        <f>IFERROR(INDEX(Productos!$C$2:$C$174,MATCH(B65,Productos!$A$2:$A$174,0)),"")</f>
        <v/>
      </c>
      <c r="E65" s="8" t="n"/>
      <c r="F65" s="8" t="n"/>
      <c r="G65" s="5" t="n"/>
      <c r="H65" s="9">
        <f>IF(AND(ISNUMBER(F65),G65&lt;&gt;""),IF(F65&gt;DAY(EOMONTH(DATE(VALUE(RIGHT(G65,4)),VALUE(LEFT(G65,2)),1),0)),"Ese día no existe en el mes",DATE(VALUE(RIGHT(G65,4)),VALUE(LEFT(G65,2)),F65)),"")</f>
        <v/>
      </c>
    </row>
    <row r="66" ht="18" customHeight="1">
      <c r="A66" s="5" t="n"/>
      <c r="B66" s="5" t="n"/>
      <c r="C66" s="6">
        <f>IFERROR(INDEX(Productos!$B$2:$B$174,MATCH(B66,Productos!$A$2:$A$174,0)),"")</f>
        <v/>
      </c>
      <c r="D66" s="7">
        <f>IFERROR(INDEX(Productos!$C$2:$C$174,MATCH(B66,Productos!$A$2:$A$174,0)),"")</f>
        <v/>
      </c>
      <c r="E66" s="8" t="n"/>
      <c r="F66" s="8" t="n"/>
      <c r="G66" s="5" t="n"/>
      <c r="H66" s="9">
        <f>IF(AND(ISNUMBER(F66),G66&lt;&gt;""),IF(F66&gt;DAY(EOMONTH(DATE(VALUE(RIGHT(G66,4)),VALUE(LEFT(G66,2)),1),0)),"Ese día no existe en el mes",DATE(VALUE(RIGHT(G66,4)),VALUE(LEFT(G66,2)),F66)),"")</f>
        <v/>
      </c>
    </row>
    <row r="67" ht="18" customHeight="1">
      <c r="A67" s="5" t="n"/>
      <c r="B67" s="5" t="n"/>
      <c r="C67" s="6">
        <f>IFERROR(INDEX(Productos!$B$2:$B$174,MATCH(B67,Productos!$A$2:$A$174,0)),"")</f>
        <v/>
      </c>
      <c r="D67" s="7">
        <f>IFERROR(INDEX(Productos!$C$2:$C$174,MATCH(B67,Productos!$A$2:$A$174,0)),"")</f>
        <v/>
      </c>
      <c r="E67" s="8" t="n"/>
      <c r="F67" s="8" t="n"/>
      <c r="G67" s="5" t="n"/>
      <c r="H67" s="9">
        <f>IF(AND(ISNUMBER(F67),G67&lt;&gt;""),IF(F67&gt;DAY(EOMONTH(DATE(VALUE(RIGHT(G67,4)),VALUE(LEFT(G67,2)),1),0)),"Ese día no existe en el mes",DATE(VALUE(RIGHT(G67,4)),VALUE(LEFT(G67,2)),F67)),"")</f>
        <v/>
      </c>
    </row>
    <row r="68" ht="18" customHeight="1">
      <c r="A68" s="5" t="n"/>
      <c r="B68" s="5" t="n"/>
      <c r="C68" s="6">
        <f>IFERROR(INDEX(Productos!$B$2:$B$174,MATCH(B68,Productos!$A$2:$A$174,0)),"")</f>
        <v/>
      </c>
      <c r="D68" s="7">
        <f>IFERROR(INDEX(Productos!$C$2:$C$174,MATCH(B68,Productos!$A$2:$A$174,0)),"")</f>
        <v/>
      </c>
      <c r="E68" s="8" t="n"/>
      <c r="F68" s="8" t="n"/>
      <c r="G68" s="5" t="n"/>
      <c r="H68" s="9">
        <f>IF(AND(ISNUMBER(F68),G68&lt;&gt;""),IF(F68&gt;DAY(EOMONTH(DATE(VALUE(RIGHT(G68,4)),VALUE(LEFT(G68,2)),1),0)),"Ese día no existe en el mes",DATE(VALUE(RIGHT(G68,4)),VALUE(LEFT(G68,2)),F68)),"")</f>
        <v/>
      </c>
    </row>
    <row r="69" ht="18" customHeight="1">
      <c r="A69" s="5" t="n"/>
      <c r="B69" s="5" t="n"/>
      <c r="C69" s="6">
        <f>IFERROR(INDEX(Productos!$B$2:$B$174,MATCH(B69,Productos!$A$2:$A$174,0)),"")</f>
        <v/>
      </c>
      <c r="D69" s="7">
        <f>IFERROR(INDEX(Productos!$C$2:$C$174,MATCH(B69,Productos!$A$2:$A$174,0)),"")</f>
        <v/>
      </c>
      <c r="E69" s="8" t="n"/>
      <c r="F69" s="8" t="n"/>
      <c r="G69" s="5" t="n"/>
      <c r="H69" s="9">
        <f>IF(AND(ISNUMBER(F69),G69&lt;&gt;""),IF(F69&gt;DAY(EOMONTH(DATE(VALUE(RIGHT(G69,4)),VALUE(LEFT(G69,2)),1),0)),"Ese día no existe en el mes",DATE(VALUE(RIGHT(G69,4)),VALUE(LEFT(G69,2)),F69)),"")</f>
        <v/>
      </c>
    </row>
    <row r="70" ht="18" customHeight="1">
      <c r="A70" s="5" t="n"/>
      <c r="B70" s="5" t="n"/>
      <c r="C70" s="6">
        <f>IFERROR(INDEX(Productos!$B$2:$B$174,MATCH(B70,Productos!$A$2:$A$174,0)),"")</f>
        <v/>
      </c>
      <c r="D70" s="7">
        <f>IFERROR(INDEX(Productos!$C$2:$C$174,MATCH(B70,Productos!$A$2:$A$174,0)),"")</f>
        <v/>
      </c>
      <c r="E70" s="8" t="n"/>
      <c r="F70" s="8" t="n"/>
      <c r="G70" s="5" t="n"/>
      <c r="H70" s="9">
        <f>IF(AND(ISNUMBER(F70),G70&lt;&gt;""),IF(F70&gt;DAY(EOMONTH(DATE(VALUE(RIGHT(G70,4)),VALUE(LEFT(G70,2)),1),0)),"Ese día no existe en el mes",DATE(VALUE(RIGHT(G70,4)),VALUE(LEFT(G70,2)),F70)),"")</f>
        <v/>
      </c>
    </row>
    <row r="71" ht="18" customHeight="1">
      <c r="A71" s="5" t="n"/>
      <c r="B71" s="5" t="n"/>
      <c r="C71" s="6">
        <f>IFERROR(INDEX(Productos!$B$2:$B$174,MATCH(B71,Productos!$A$2:$A$174,0)),"")</f>
        <v/>
      </c>
      <c r="D71" s="7">
        <f>IFERROR(INDEX(Productos!$C$2:$C$174,MATCH(B71,Productos!$A$2:$A$174,0)),"")</f>
        <v/>
      </c>
      <c r="E71" s="8" t="n"/>
      <c r="F71" s="8" t="n"/>
      <c r="G71" s="5" t="n"/>
      <c r="H71" s="9">
        <f>IF(AND(ISNUMBER(F71),G71&lt;&gt;""),IF(F71&gt;DAY(EOMONTH(DATE(VALUE(RIGHT(G71,4)),VALUE(LEFT(G71,2)),1),0)),"Ese día no existe en el mes",DATE(VALUE(RIGHT(G71,4)),VALUE(LEFT(G71,2)),F71)),"")</f>
        <v/>
      </c>
    </row>
    <row r="72" ht="18" customHeight="1">
      <c r="A72" s="5" t="n"/>
      <c r="B72" s="5" t="n"/>
      <c r="C72" s="6">
        <f>IFERROR(INDEX(Productos!$B$2:$B$174,MATCH(B72,Productos!$A$2:$A$174,0)),"")</f>
        <v/>
      </c>
      <c r="D72" s="7">
        <f>IFERROR(INDEX(Productos!$C$2:$C$174,MATCH(B72,Productos!$A$2:$A$174,0)),"")</f>
        <v/>
      </c>
      <c r="E72" s="8" t="n"/>
      <c r="F72" s="8" t="n"/>
      <c r="G72" s="5" t="n"/>
      <c r="H72" s="9">
        <f>IF(AND(ISNUMBER(F72),G72&lt;&gt;""),IF(F72&gt;DAY(EOMONTH(DATE(VALUE(RIGHT(G72,4)),VALUE(LEFT(G72,2)),1),0)),"Ese día no existe en el mes",DATE(VALUE(RIGHT(G72,4)),VALUE(LEFT(G72,2)),F72)),"")</f>
        <v/>
      </c>
    </row>
    <row r="73" ht="18" customHeight="1">
      <c r="A73" s="5" t="n"/>
      <c r="B73" s="5" t="n"/>
      <c r="C73" s="6">
        <f>IFERROR(INDEX(Productos!$B$2:$B$174,MATCH(B73,Productos!$A$2:$A$174,0)),"")</f>
        <v/>
      </c>
      <c r="D73" s="7">
        <f>IFERROR(INDEX(Productos!$C$2:$C$174,MATCH(B73,Productos!$A$2:$A$174,0)),"")</f>
        <v/>
      </c>
      <c r="E73" s="8" t="n"/>
      <c r="F73" s="8" t="n"/>
      <c r="G73" s="5" t="n"/>
      <c r="H73" s="9">
        <f>IF(AND(ISNUMBER(F73),G73&lt;&gt;""),IF(F73&gt;DAY(EOMONTH(DATE(VALUE(RIGHT(G73,4)),VALUE(LEFT(G73,2)),1),0)),"Ese día no existe en el mes",DATE(VALUE(RIGHT(G73,4)),VALUE(LEFT(G73,2)),F73)),"")</f>
        <v/>
      </c>
    </row>
    <row r="74" ht="18" customHeight="1">
      <c r="A74" s="5" t="n"/>
      <c r="B74" s="5" t="n"/>
      <c r="C74" s="6">
        <f>IFERROR(INDEX(Productos!$B$2:$B$174,MATCH(B74,Productos!$A$2:$A$174,0)),"")</f>
        <v/>
      </c>
      <c r="D74" s="7">
        <f>IFERROR(INDEX(Productos!$C$2:$C$174,MATCH(B74,Productos!$A$2:$A$174,0)),"")</f>
        <v/>
      </c>
      <c r="E74" s="8" t="n"/>
      <c r="F74" s="8" t="n"/>
      <c r="G74" s="5" t="n"/>
      <c r="H74" s="9">
        <f>IF(AND(ISNUMBER(F74),G74&lt;&gt;""),IF(F74&gt;DAY(EOMONTH(DATE(VALUE(RIGHT(G74,4)),VALUE(LEFT(G74,2)),1),0)),"Ese día no existe en el mes",DATE(VALUE(RIGHT(G74,4)),VALUE(LEFT(G74,2)),F74)),"")</f>
        <v/>
      </c>
    </row>
    <row r="75" ht="18" customHeight="1">
      <c r="A75" s="5" t="n"/>
      <c r="B75" s="5" t="n"/>
      <c r="C75" s="6">
        <f>IFERROR(INDEX(Productos!$B$2:$B$174,MATCH(B75,Productos!$A$2:$A$174,0)),"")</f>
        <v/>
      </c>
      <c r="D75" s="7">
        <f>IFERROR(INDEX(Productos!$C$2:$C$174,MATCH(B75,Productos!$A$2:$A$174,0)),"")</f>
        <v/>
      </c>
      <c r="E75" s="8" t="n"/>
      <c r="F75" s="8" t="n"/>
      <c r="G75" s="5" t="n"/>
      <c r="H75" s="9">
        <f>IF(AND(ISNUMBER(F75),G75&lt;&gt;""),IF(F75&gt;DAY(EOMONTH(DATE(VALUE(RIGHT(G75,4)),VALUE(LEFT(G75,2)),1),0)),"Ese día no existe en el mes",DATE(VALUE(RIGHT(G75,4)),VALUE(LEFT(G75,2)),F75)),"")</f>
        <v/>
      </c>
    </row>
    <row r="76" ht="18" customHeight="1">
      <c r="A76" s="5" t="n"/>
      <c r="B76" s="5" t="n"/>
      <c r="C76" s="6">
        <f>IFERROR(INDEX(Productos!$B$2:$B$174,MATCH(B76,Productos!$A$2:$A$174,0)),"")</f>
        <v/>
      </c>
      <c r="D76" s="7">
        <f>IFERROR(INDEX(Productos!$C$2:$C$174,MATCH(B76,Productos!$A$2:$A$174,0)),"")</f>
        <v/>
      </c>
      <c r="E76" s="8" t="n"/>
      <c r="F76" s="8" t="n"/>
      <c r="G76" s="5" t="n"/>
      <c r="H76" s="9">
        <f>IF(AND(ISNUMBER(F76),G76&lt;&gt;""),IF(F76&gt;DAY(EOMONTH(DATE(VALUE(RIGHT(G76,4)),VALUE(LEFT(G76,2)),1),0)),"Ese día no existe en el mes",DATE(VALUE(RIGHT(G76,4)),VALUE(LEFT(G76,2)),F76)),"")</f>
        <v/>
      </c>
    </row>
    <row r="77" ht="18" customHeight="1">
      <c r="A77" s="5" t="n"/>
      <c r="B77" s="5" t="n"/>
      <c r="C77" s="6">
        <f>IFERROR(INDEX(Productos!$B$2:$B$174,MATCH(B77,Productos!$A$2:$A$174,0)),"")</f>
        <v/>
      </c>
      <c r="D77" s="7">
        <f>IFERROR(INDEX(Productos!$C$2:$C$174,MATCH(B77,Productos!$A$2:$A$174,0)),"")</f>
        <v/>
      </c>
      <c r="E77" s="8" t="n"/>
      <c r="F77" s="8" t="n"/>
      <c r="G77" s="5" t="n"/>
      <c r="H77" s="9">
        <f>IF(AND(ISNUMBER(F77),G77&lt;&gt;""),IF(F77&gt;DAY(EOMONTH(DATE(VALUE(RIGHT(G77,4)),VALUE(LEFT(G77,2)),1),0)),"Ese día no existe en el mes",DATE(VALUE(RIGHT(G77,4)),VALUE(LEFT(G77,2)),F77)),"")</f>
        <v/>
      </c>
    </row>
    <row r="78" ht="18" customHeight="1">
      <c r="A78" s="5" t="n"/>
      <c r="B78" s="5" t="n"/>
      <c r="C78" s="6">
        <f>IFERROR(INDEX(Productos!$B$2:$B$174,MATCH(B78,Productos!$A$2:$A$174,0)),"")</f>
        <v/>
      </c>
      <c r="D78" s="7">
        <f>IFERROR(INDEX(Productos!$C$2:$C$174,MATCH(B78,Productos!$A$2:$A$174,0)),"")</f>
        <v/>
      </c>
      <c r="E78" s="8" t="n"/>
      <c r="F78" s="8" t="n"/>
      <c r="G78" s="5" t="n"/>
      <c r="H78" s="9">
        <f>IF(AND(ISNUMBER(F78),G78&lt;&gt;""),IF(F78&gt;DAY(EOMONTH(DATE(VALUE(RIGHT(G78,4)),VALUE(LEFT(G78,2)),1),0)),"Ese día no existe en el mes",DATE(VALUE(RIGHT(G78,4)),VALUE(LEFT(G78,2)),F78)),"")</f>
        <v/>
      </c>
    </row>
    <row r="79" ht="18" customHeight="1">
      <c r="A79" s="5" t="n"/>
      <c r="B79" s="5" t="n"/>
      <c r="C79" s="6">
        <f>IFERROR(INDEX(Productos!$B$2:$B$174,MATCH(B79,Productos!$A$2:$A$174,0)),"")</f>
        <v/>
      </c>
      <c r="D79" s="7">
        <f>IFERROR(INDEX(Productos!$C$2:$C$174,MATCH(B79,Productos!$A$2:$A$174,0)),"")</f>
        <v/>
      </c>
      <c r="E79" s="8" t="n"/>
      <c r="F79" s="8" t="n"/>
      <c r="G79" s="5" t="n"/>
      <c r="H79" s="9">
        <f>IF(AND(ISNUMBER(F79),G79&lt;&gt;""),IF(F79&gt;DAY(EOMONTH(DATE(VALUE(RIGHT(G79,4)),VALUE(LEFT(G79,2)),1),0)),"Ese día no existe en el mes",DATE(VALUE(RIGHT(G79,4)),VALUE(LEFT(G79,2)),F79)),"")</f>
        <v/>
      </c>
    </row>
    <row r="80" ht="18" customHeight="1">
      <c r="A80" s="5" t="n"/>
      <c r="B80" s="5" t="n"/>
      <c r="C80" s="6">
        <f>IFERROR(INDEX(Productos!$B$2:$B$174,MATCH(B80,Productos!$A$2:$A$174,0)),"")</f>
        <v/>
      </c>
      <c r="D80" s="7">
        <f>IFERROR(INDEX(Productos!$C$2:$C$174,MATCH(B80,Productos!$A$2:$A$174,0)),"")</f>
        <v/>
      </c>
      <c r="E80" s="8" t="n"/>
      <c r="F80" s="8" t="n"/>
      <c r="G80" s="5" t="n"/>
      <c r="H80" s="9">
        <f>IF(AND(ISNUMBER(F80),G80&lt;&gt;""),IF(F80&gt;DAY(EOMONTH(DATE(VALUE(RIGHT(G80,4)),VALUE(LEFT(G80,2)),1),0)),"Ese día no existe en el mes",DATE(VALUE(RIGHT(G80,4)),VALUE(LEFT(G80,2)),F80)),"")</f>
        <v/>
      </c>
    </row>
    <row r="81" ht="18" customHeight="1">
      <c r="A81" s="5" t="n"/>
      <c r="B81" s="5" t="n"/>
      <c r="C81" s="6">
        <f>IFERROR(INDEX(Productos!$B$2:$B$174,MATCH(B81,Productos!$A$2:$A$174,0)),"")</f>
        <v/>
      </c>
      <c r="D81" s="7">
        <f>IFERROR(INDEX(Productos!$C$2:$C$174,MATCH(B81,Productos!$A$2:$A$174,0)),"")</f>
        <v/>
      </c>
      <c r="E81" s="8" t="n"/>
      <c r="F81" s="8" t="n"/>
      <c r="G81" s="5" t="n"/>
      <c r="H81" s="9">
        <f>IF(AND(ISNUMBER(F81),G81&lt;&gt;""),IF(F81&gt;DAY(EOMONTH(DATE(VALUE(RIGHT(G81,4)),VALUE(LEFT(G81,2)),1),0)),"Ese día no existe en el mes",DATE(VALUE(RIGHT(G81,4)),VALUE(LEFT(G81,2)),F81)),"")</f>
        <v/>
      </c>
    </row>
    <row r="82" ht="18" customHeight="1">
      <c r="A82" s="5" t="n"/>
      <c r="B82" s="5" t="n"/>
      <c r="C82" s="6">
        <f>IFERROR(INDEX(Productos!$B$2:$B$174,MATCH(B82,Productos!$A$2:$A$174,0)),"")</f>
        <v/>
      </c>
      <c r="D82" s="7">
        <f>IFERROR(INDEX(Productos!$C$2:$C$174,MATCH(B82,Productos!$A$2:$A$174,0)),"")</f>
        <v/>
      </c>
      <c r="E82" s="8" t="n"/>
      <c r="F82" s="8" t="n"/>
      <c r="G82" s="5" t="n"/>
      <c r="H82" s="9">
        <f>IF(AND(ISNUMBER(F82),G82&lt;&gt;""),IF(F82&gt;DAY(EOMONTH(DATE(VALUE(RIGHT(G82,4)),VALUE(LEFT(G82,2)),1),0)),"Ese día no existe en el mes",DATE(VALUE(RIGHT(G82,4)),VALUE(LEFT(G82,2)),F82)),"")</f>
        <v/>
      </c>
    </row>
    <row r="83" ht="18" customHeight="1">
      <c r="A83" s="5" t="n"/>
      <c r="B83" s="5" t="n"/>
      <c r="C83" s="6">
        <f>IFERROR(INDEX(Productos!$B$2:$B$174,MATCH(B83,Productos!$A$2:$A$174,0)),"")</f>
        <v/>
      </c>
      <c r="D83" s="7">
        <f>IFERROR(INDEX(Productos!$C$2:$C$174,MATCH(B83,Productos!$A$2:$A$174,0)),"")</f>
        <v/>
      </c>
      <c r="E83" s="8" t="n"/>
      <c r="F83" s="8" t="n"/>
      <c r="G83" s="5" t="n"/>
      <c r="H83" s="9">
        <f>IF(AND(ISNUMBER(F83),G83&lt;&gt;""),IF(F83&gt;DAY(EOMONTH(DATE(VALUE(RIGHT(G83,4)),VALUE(LEFT(G83,2)),1),0)),"Ese día no existe en el mes",DATE(VALUE(RIGHT(G83,4)),VALUE(LEFT(G83,2)),F83)),"")</f>
        <v/>
      </c>
    </row>
    <row r="84" ht="18" customHeight="1">
      <c r="A84" s="5" t="n"/>
      <c r="B84" s="5" t="n"/>
      <c r="C84" s="6">
        <f>IFERROR(INDEX(Productos!$B$2:$B$174,MATCH(B84,Productos!$A$2:$A$174,0)),"")</f>
        <v/>
      </c>
      <c r="D84" s="7">
        <f>IFERROR(INDEX(Productos!$C$2:$C$174,MATCH(B84,Productos!$A$2:$A$174,0)),"")</f>
        <v/>
      </c>
      <c r="E84" s="8" t="n"/>
      <c r="F84" s="8" t="n"/>
      <c r="G84" s="5" t="n"/>
      <c r="H84" s="9">
        <f>IF(AND(ISNUMBER(F84),G84&lt;&gt;""),IF(F84&gt;DAY(EOMONTH(DATE(VALUE(RIGHT(G84,4)),VALUE(LEFT(G84,2)),1),0)),"Ese día no existe en el mes",DATE(VALUE(RIGHT(G84,4)),VALUE(LEFT(G84,2)),F84)),"")</f>
        <v/>
      </c>
    </row>
    <row r="85" ht="18" customHeight="1">
      <c r="A85" s="5" t="n"/>
      <c r="B85" s="5" t="n"/>
      <c r="C85" s="6">
        <f>IFERROR(INDEX(Productos!$B$2:$B$174,MATCH(B85,Productos!$A$2:$A$174,0)),"")</f>
        <v/>
      </c>
      <c r="D85" s="7">
        <f>IFERROR(INDEX(Productos!$C$2:$C$174,MATCH(B85,Productos!$A$2:$A$174,0)),"")</f>
        <v/>
      </c>
      <c r="E85" s="8" t="n"/>
      <c r="F85" s="8" t="n"/>
      <c r="G85" s="5" t="n"/>
      <c r="H85" s="9">
        <f>IF(AND(ISNUMBER(F85),G85&lt;&gt;""),IF(F85&gt;DAY(EOMONTH(DATE(VALUE(RIGHT(G85,4)),VALUE(LEFT(G85,2)),1),0)),"Ese día no existe en el mes",DATE(VALUE(RIGHT(G85,4)),VALUE(LEFT(G85,2)),F85)),"")</f>
        <v/>
      </c>
    </row>
    <row r="86" ht="18" customHeight="1">
      <c r="A86" s="5" t="n"/>
      <c r="B86" s="5" t="n"/>
      <c r="C86" s="6">
        <f>IFERROR(INDEX(Productos!$B$2:$B$174,MATCH(B86,Productos!$A$2:$A$174,0)),"")</f>
        <v/>
      </c>
      <c r="D86" s="7">
        <f>IFERROR(INDEX(Productos!$C$2:$C$174,MATCH(B86,Productos!$A$2:$A$174,0)),"")</f>
        <v/>
      </c>
      <c r="E86" s="8" t="n"/>
      <c r="F86" s="8" t="n"/>
      <c r="G86" s="5" t="n"/>
      <c r="H86" s="9">
        <f>IF(AND(ISNUMBER(F86),G86&lt;&gt;""),IF(F86&gt;DAY(EOMONTH(DATE(VALUE(RIGHT(G86,4)),VALUE(LEFT(G86,2)),1),0)),"Ese día no existe en el mes",DATE(VALUE(RIGHT(G86,4)),VALUE(LEFT(G86,2)),F86)),"")</f>
        <v/>
      </c>
    </row>
    <row r="87" ht="18" customHeight="1">
      <c r="A87" s="5" t="n"/>
      <c r="B87" s="5" t="n"/>
      <c r="C87" s="6">
        <f>IFERROR(INDEX(Productos!$B$2:$B$174,MATCH(B87,Productos!$A$2:$A$174,0)),"")</f>
        <v/>
      </c>
      <c r="D87" s="7">
        <f>IFERROR(INDEX(Productos!$C$2:$C$174,MATCH(B87,Productos!$A$2:$A$174,0)),"")</f>
        <v/>
      </c>
      <c r="E87" s="8" t="n"/>
      <c r="F87" s="8" t="n"/>
      <c r="G87" s="5" t="n"/>
      <c r="H87" s="9">
        <f>IF(AND(ISNUMBER(F87),G87&lt;&gt;""),IF(F87&gt;DAY(EOMONTH(DATE(VALUE(RIGHT(G87,4)),VALUE(LEFT(G87,2)),1),0)),"Ese día no existe en el mes",DATE(VALUE(RIGHT(G87,4)),VALUE(LEFT(G87,2)),F87)),"")</f>
        <v/>
      </c>
    </row>
    <row r="88" ht="18" customHeight="1">
      <c r="A88" s="5" t="n"/>
      <c r="B88" s="5" t="n"/>
      <c r="C88" s="6">
        <f>IFERROR(INDEX(Productos!$B$2:$B$174,MATCH(B88,Productos!$A$2:$A$174,0)),"")</f>
        <v/>
      </c>
      <c r="D88" s="7">
        <f>IFERROR(INDEX(Productos!$C$2:$C$174,MATCH(B88,Productos!$A$2:$A$174,0)),"")</f>
        <v/>
      </c>
      <c r="E88" s="8" t="n"/>
      <c r="F88" s="8" t="n"/>
      <c r="G88" s="5" t="n"/>
      <c r="H88" s="9">
        <f>IF(AND(ISNUMBER(F88),G88&lt;&gt;""),IF(F88&gt;DAY(EOMONTH(DATE(VALUE(RIGHT(G88,4)),VALUE(LEFT(G88,2)),1),0)),"Ese día no existe en el mes",DATE(VALUE(RIGHT(G88,4)),VALUE(LEFT(G88,2)),F88)),"")</f>
        <v/>
      </c>
    </row>
    <row r="89" ht="18" customHeight="1">
      <c r="A89" s="5" t="n"/>
      <c r="B89" s="5" t="n"/>
      <c r="C89" s="6">
        <f>IFERROR(INDEX(Productos!$B$2:$B$174,MATCH(B89,Productos!$A$2:$A$174,0)),"")</f>
        <v/>
      </c>
      <c r="D89" s="7">
        <f>IFERROR(INDEX(Productos!$C$2:$C$174,MATCH(B89,Productos!$A$2:$A$174,0)),"")</f>
        <v/>
      </c>
      <c r="E89" s="8" t="n"/>
      <c r="F89" s="8" t="n"/>
      <c r="G89" s="5" t="n"/>
      <c r="H89" s="9">
        <f>IF(AND(ISNUMBER(F89),G89&lt;&gt;""),IF(F89&gt;DAY(EOMONTH(DATE(VALUE(RIGHT(G89,4)),VALUE(LEFT(G89,2)),1),0)),"Ese día no existe en el mes",DATE(VALUE(RIGHT(G89,4)),VALUE(LEFT(G89,2)),F89)),"")</f>
        <v/>
      </c>
    </row>
    <row r="90" ht="18" customHeight="1">
      <c r="A90" s="5" t="n"/>
      <c r="B90" s="5" t="n"/>
      <c r="C90" s="6">
        <f>IFERROR(INDEX(Productos!$B$2:$B$174,MATCH(B90,Productos!$A$2:$A$174,0)),"")</f>
        <v/>
      </c>
      <c r="D90" s="7">
        <f>IFERROR(INDEX(Productos!$C$2:$C$174,MATCH(B90,Productos!$A$2:$A$174,0)),"")</f>
        <v/>
      </c>
      <c r="E90" s="8" t="n"/>
      <c r="F90" s="8" t="n"/>
      <c r="G90" s="5" t="n"/>
      <c r="H90" s="9">
        <f>IF(AND(ISNUMBER(F90),G90&lt;&gt;""),IF(F90&gt;DAY(EOMONTH(DATE(VALUE(RIGHT(G90,4)),VALUE(LEFT(G90,2)),1),0)),"Ese día no existe en el mes",DATE(VALUE(RIGHT(G90,4)),VALUE(LEFT(G90,2)),F90)),"")</f>
        <v/>
      </c>
    </row>
    <row r="91" ht="18" customHeight="1">
      <c r="A91" s="5" t="n"/>
      <c r="B91" s="5" t="n"/>
      <c r="C91" s="6">
        <f>IFERROR(INDEX(Productos!$B$2:$B$174,MATCH(B91,Productos!$A$2:$A$174,0)),"")</f>
        <v/>
      </c>
      <c r="D91" s="7">
        <f>IFERROR(INDEX(Productos!$C$2:$C$174,MATCH(B91,Productos!$A$2:$A$174,0)),"")</f>
        <v/>
      </c>
      <c r="E91" s="8" t="n"/>
      <c r="F91" s="8" t="n"/>
      <c r="G91" s="5" t="n"/>
      <c r="H91" s="9">
        <f>IF(AND(ISNUMBER(F91),G91&lt;&gt;""),IF(F91&gt;DAY(EOMONTH(DATE(VALUE(RIGHT(G91,4)),VALUE(LEFT(G91,2)),1),0)),"Ese día no existe en el mes",DATE(VALUE(RIGHT(G91,4)),VALUE(LEFT(G91,2)),F91)),"")</f>
        <v/>
      </c>
    </row>
    <row r="92" ht="18" customHeight="1">
      <c r="A92" s="5" t="n"/>
      <c r="B92" s="5" t="n"/>
      <c r="C92" s="6">
        <f>IFERROR(INDEX(Productos!$B$2:$B$174,MATCH(B92,Productos!$A$2:$A$174,0)),"")</f>
        <v/>
      </c>
      <c r="D92" s="7">
        <f>IFERROR(INDEX(Productos!$C$2:$C$174,MATCH(B92,Productos!$A$2:$A$174,0)),"")</f>
        <v/>
      </c>
      <c r="E92" s="8" t="n"/>
      <c r="F92" s="8" t="n"/>
      <c r="G92" s="5" t="n"/>
      <c r="H92" s="9">
        <f>IF(AND(ISNUMBER(F92),G92&lt;&gt;""),IF(F92&gt;DAY(EOMONTH(DATE(VALUE(RIGHT(G92,4)),VALUE(LEFT(G92,2)),1),0)),"Ese día no existe en el mes",DATE(VALUE(RIGHT(G92,4)),VALUE(LEFT(G92,2)),F92)),"")</f>
        <v/>
      </c>
    </row>
    <row r="93" ht="18" customHeight="1">
      <c r="A93" s="5" t="n"/>
      <c r="B93" s="5" t="n"/>
      <c r="C93" s="6">
        <f>IFERROR(INDEX(Productos!$B$2:$B$174,MATCH(B93,Productos!$A$2:$A$174,0)),"")</f>
        <v/>
      </c>
      <c r="D93" s="7">
        <f>IFERROR(INDEX(Productos!$C$2:$C$174,MATCH(B93,Productos!$A$2:$A$174,0)),"")</f>
        <v/>
      </c>
      <c r="E93" s="8" t="n"/>
      <c r="F93" s="8" t="n"/>
      <c r="G93" s="5" t="n"/>
      <c r="H93" s="9">
        <f>IF(AND(ISNUMBER(F93),G93&lt;&gt;""),IF(F93&gt;DAY(EOMONTH(DATE(VALUE(RIGHT(G93,4)),VALUE(LEFT(G93,2)),1),0)),"Ese día no existe en el mes",DATE(VALUE(RIGHT(G93,4)),VALUE(LEFT(G93,2)),F93)),"")</f>
        <v/>
      </c>
    </row>
    <row r="94" ht="18" customHeight="1">
      <c r="A94" s="5" t="n"/>
      <c r="B94" s="5" t="n"/>
      <c r="C94" s="6">
        <f>IFERROR(INDEX(Productos!$B$2:$B$174,MATCH(B94,Productos!$A$2:$A$174,0)),"")</f>
        <v/>
      </c>
      <c r="D94" s="7">
        <f>IFERROR(INDEX(Productos!$C$2:$C$174,MATCH(B94,Productos!$A$2:$A$174,0)),"")</f>
        <v/>
      </c>
      <c r="E94" s="8" t="n"/>
      <c r="F94" s="8" t="n"/>
      <c r="G94" s="5" t="n"/>
      <c r="H94" s="9">
        <f>IF(AND(ISNUMBER(F94),G94&lt;&gt;""),IF(F94&gt;DAY(EOMONTH(DATE(VALUE(RIGHT(G94,4)),VALUE(LEFT(G94,2)),1),0)),"Ese día no existe en el mes",DATE(VALUE(RIGHT(G94,4)),VALUE(LEFT(G94,2)),F94)),"")</f>
        <v/>
      </c>
    </row>
    <row r="95" ht="18" customHeight="1">
      <c r="A95" s="5" t="n"/>
      <c r="B95" s="5" t="n"/>
      <c r="C95" s="6">
        <f>IFERROR(INDEX(Productos!$B$2:$B$174,MATCH(B95,Productos!$A$2:$A$174,0)),"")</f>
        <v/>
      </c>
      <c r="D95" s="7">
        <f>IFERROR(INDEX(Productos!$C$2:$C$174,MATCH(B95,Productos!$A$2:$A$174,0)),"")</f>
        <v/>
      </c>
      <c r="E95" s="8" t="n"/>
      <c r="F95" s="8" t="n"/>
      <c r="G95" s="5" t="n"/>
      <c r="H95" s="9">
        <f>IF(AND(ISNUMBER(F95),G95&lt;&gt;""),IF(F95&gt;DAY(EOMONTH(DATE(VALUE(RIGHT(G95,4)),VALUE(LEFT(G95,2)),1),0)),"Ese día no existe en el mes",DATE(VALUE(RIGHT(G95,4)),VALUE(LEFT(G95,2)),F95)),"")</f>
        <v/>
      </c>
    </row>
    <row r="96" ht="18" customHeight="1">
      <c r="A96" s="5" t="n"/>
      <c r="B96" s="5" t="n"/>
      <c r="C96" s="6">
        <f>IFERROR(INDEX(Productos!$B$2:$B$174,MATCH(B96,Productos!$A$2:$A$174,0)),"")</f>
        <v/>
      </c>
      <c r="D96" s="7">
        <f>IFERROR(INDEX(Productos!$C$2:$C$174,MATCH(B96,Productos!$A$2:$A$174,0)),"")</f>
        <v/>
      </c>
      <c r="E96" s="8" t="n"/>
      <c r="F96" s="8" t="n"/>
      <c r="G96" s="5" t="n"/>
      <c r="H96" s="9">
        <f>IF(AND(ISNUMBER(F96),G96&lt;&gt;""),IF(F96&gt;DAY(EOMONTH(DATE(VALUE(RIGHT(G96,4)),VALUE(LEFT(G96,2)),1),0)),"Ese día no existe en el mes",DATE(VALUE(RIGHT(G96,4)),VALUE(LEFT(G96,2)),F96)),"")</f>
        <v/>
      </c>
    </row>
    <row r="97" ht="18" customHeight="1">
      <c r="A97" s="5" t="n"/>
      <c r="B97" s="5" t="n"/>
      <c r="C97" s="6">
        <f>IFERROR(INDEX(Productos!$B$2:$B$174,MATCH(B97,Productos!$A$2:$A$174,0)),"")</f>
        <v/>
      </c>
      <c r="D97" s="7">
        <f>IFERROR(INDEX(Productos!$C$2:$C$174,MATCH(B97,Productos!$A$2:$A$174,0)),"")</f>
        <v/>
      </c>
      <c r="E97" s="8" t="n"/>
      <c r="F97" s="8" t="n"/>
      <c r="G97" s="5" t="n"/>
      <c r="H97" s="9">
        <f>IF(AND(ISNUMBER(F97),G97&lt;&gt;""),IF(F97&gt;DAY(EOMONTH(DATE(VALUE(RIGHT(G97,4)),VALUE(LEFT(G97,2)),1),0)),"Ese día no existe en el mes",DATE(VALUE(RIGHT(G97,4)),VALUE(LEFT(G97,2)),F97)),"")</f>
        <v/>
      </c>
    </row>
    <row r="98" ht="18" customHeight="1">
      <c r="A98" s="5" t="n"/>
      <c r="B98" s="5" t="n"/>
      <c r="C98" s="6">
        <f>IFERROR(INDEX(Productos!$B$2:$B$174,MATCH(B98,Productos!$A$2:$A$174,0)),"")</f>
        <v/>
      </c>
      <c r="D98" s="7">
        <f>IFERROR(INDEX(Productos!$C$2:$C$174,MATCH(B98,Productos!$A$2:$A$174,0)),"")</f>
        <v/>
      </c>
      <c r="E98" s="8" t="n"/>
      <c r="F98" s="8" t="n"/>
      <c r="G98" s="5" t="n"/>
      <c r="H98" s="9">
        <f>IF(AND(ISNUMBER(F98),G98&lt;&gt;""),IF(F98&gt;DAY(EOMONTH(DATE(VALUE(RIGHT(G98,4)),VALUE(LEFT(G98,2)),1),0)),"Ese día no existe en el mes",DATE(VALUE(RIGHT(G98,4)),VALUE(LEFT(G98,2)),F98)),"")</f>
        <v/>
      </c>
    </row>
    <row r="99" ht="18" customHeight="1">
      <c r="A99" s="5" t="n"/>
      <c r="B99" s="5" t="n"/>
      <c r="C99" s="6">
        <f>IFERROR(INDEX(Productos!$B$2:$B$174,MATCH(B99,Productos!$A$2:$A$174,0)),"")</f>
        <v/>
      </c>
      <c r="D99" s="7">
        <f>IFERROR(INDEX(Productos!$C$2:$C$174,MATCH(B99,Productos!$A$2:$A$174,0)),"")</f>
        <v/>
      </c>
      <c r="E99" s="8" t="n"/>
      <c r="F99" s="8" t="n"/>
      <c r="G99" s="5" t="n"/>
      <c r="H99" s="9">
        <f>IF(AND(ISNUMBER(F99),G99&lt;&gt;""),IF(F99&gt;DAY(EOMONTH(DATE(VALUE(RIGHT(G99,4)),VALUE(LEFT(G99,2)),1),0)),"Ese día no existe en el mes",DATE(VALUE(RIGHT(G99,4)),VALUE(LEFT(G99,2)),F99)),"")</f>
        <v/>
      </c>
    </row>
    <row r="100" ht="18" customHeight="1">
      <c r="A100" s="5" t="n"/>
      <c r="B100" s="5" t="n"/>
      <c r="C100" s="6">
        <f>IFERROR(INDEX(Productos!$B$2:$B$174,MATCH(B100,Productos!$A$2:$A$174,0)),"")</f>
        <v/>
      </c>
      <c r="D100" s="7">
        <f>IFERROR(INDEX(Productos!$C$2:$C$174,MATCH(B100,Productos!$A$2:$A$174,0)),"")</f>
        <v/>
      </c>
      <c r="E100" s="8" t="n"/>
      <c r="F100" s="8" t="n"/>
      <c r="G100" s="5" t="n"/>
      <c r="H100" s="9">
        <f>IF(AND(ISNUMBER(F100),G100&lt;&gt;""),IF(F100&gt;DAY(EOMONTH(DATE(VALUE(RIGHT(G100,4)),VALUE(LEFT(G100,2)),1),0)),"Ese día no existe en el mes",DATE(VALUE(RIGHT(G100,4)),VALUE(LEFT(G100,2)),F100)),"")</f>
        <v/>
      </c>
    </row>
    <row r="101" ht="18" customHeight="1">
      <c r="A101" s="5" t="n"/>
      <c r="B101" s="5" t="n"/>
      <c r="C101" s="6">
        <f>IFERROR(INDEX(Productos!$B$2:$B$174,MATCH(B101,Productos!$A$2:$A$174,0)),"")</f>
        <v/>
      </c>
      <c r="D101" s="7">
        <f>IFERROR(INDEX(Productos!$C$2:$C$174,MATCH(B101,Productos!$A$2:$A$174,0)),"")</f>
        <v/>
      </c>
      <c r="E101" s="8" t="n"/>
      <c r="F101" s="8" t="n"/>
      <c r="G101" s="5" t="n"/>
      <c r="H101" s="9">
        <f>IF(AND(ISNUMBER(F101),G101&lt;&gt;""),IF(F101&gt;DAY(EOMONTH(DATE(VALUE(RIGHT(G101,4)),VALUE(LEFT(G101,2)),1),0)),"Ese día no existe en el mes",DATE(VALUE(RIGHT(G101,4)),VALUE(LEFT(G101,2)),F101)),"")</f>
        <v/>
      </c>
    </row>
    <row r="102" ht="18" customHeight="1">
      <c r="A102" s="5" t="n"/>
      <c r="B102" s="5" t="n"/>
      <c r="C102" s="6">
        <f>IFERROR(INDEX(Productos!$B$2:$B$174,MATCH(B102,Productos!$A$2:$A$174,0)),"")</f>
        <v/>
      </c>
      <c r="D102" s="7">
        <f>IFERROR(INDEX(Productos!$C$2:$C$174,MATCH(B102,Productos!$A$2:$A$174,0)),"")</f>
        <v/>
      </c>
      <c r="E102" s="8" t="n"/>
      <c r="F102" s="8" t="n"/>
      <c r="G102" s="5" t="n"/>
      <c r="H102" s="9">
        <f>IF(AND(ISNUMBER(F102),G102&lt;&gt;""),IF(F102&gt;DAY(EOMONTH(DATE(VALUE(RIGHT(G102,4)),VALUE(LEFT(G102,2)),1),0)),"Ese día no existe en el mes",DATE(VALUE(RIGHT(G102,4)),VALUE(LEFT(G102,2)),F102)),"")</f>
        <v/>
      </c>
    </row>
    <row r="103" ht="18" customHeight="1">
      <c r="A103" s="5" t="n"/>
      <c r="B103" s="5" t="n"/>
      <c r="C103" s="6">
        <f>IFERROR(INDEX(Productos!$B$2:$B$174,MATCH(B103,Productos!$A$2:$A$174,0)),"")</f>
        <v/>
      </c>
      <c r="D103" s="7">
        <f>IFERROR(INDEX(Productos!$C$2:$C$174,MATCH(B103,Productos!$A$2:$A$174,0)),"")</f>
        <v/>
      </c>
      <c r="E103" s="8" t="n"/>
      <c r="F103" s="8" t="n"/>
      <c r="G103" s="5" t="n"/>
      <c r="H103" s="9">
        <f>IF(AND(ISNUMBER(F103),G103&lt;&gt;""),IF(F103&gt;DAY(EOMONTH(DATE(VALUE(RIGHT(G103,4)),VALUE(LEFT(G103,2)),1),0)),"Ese día no existe en el mes",DATE(VALUE(RIGHT(G103,4)),VALUE(LEFT(G103,2)),F103)),"")</f>
        <v/>
      </c>
    </row>
    <row r="104" ht="18" customHeight="1">
      <c r="A104" s="5" t="n"/>
      <c r="B104" s="5" t="n"/>
      <c r="C104" s="6">
        <f>IFERROR(INDEX(Productos!$B$2:$B$174,MATCH(B104,Productos!$A$2:$A$174,0)),"")</f>
        <v/>
      </c>
      <c r="D104" s="7">
        <f>IFERROR(INDEX(Productos!$C$2:$C$174,MATCH(B104,Productos!$A$2:$A$174,0)),"")</f>
        <v/>
      </c>
      <c r="E104" s="8" t="n"/>
      <c r="F104" s="8" t="n"/>
      <c r="G104" s="5" t="n"/>
      <c r="H104" s="9">
        <f>IF(AND(ISNUMBER(F104),G104&lt;&gt;""),IF(F104&gt;DAY(EOMONTH(DATE(VALUE(RIGHT(G104,4)),VALUE(LEFT(G104,2)),1),0)),"Ese día no existe en el mes",DATE(VALUE(RIGHT(G104,4)),VALUE(LEFT(G104,2)),F104)),"")</f>
        <v/>
      </c>
    </row>
    <row r="105" ht="18" customHeight="1">
      <c r="A105" s="5" t="n"/>
      <c r="B105" s="5" t="n"/>
      <c r="C105" s="6">
        <f>IFERROR(INDEX(Productos!$B$2:$B$174,MATCH(B105,Productos!$A$2:$A$174,0)),"")</f>
        <v/>
      </c>
      <c r="D105" s="7">
        <f>IFERROR(INDEX(Productos!$C$2:$C$174,MATCH(B105,Productos!$A$2:$A$174,0)),"")</f>
        <v/>
      </c>
      <c r="E105" s="8" t="n"/>
      <c r="F105" s="8" t="n"/>
      <c r="G105" s="5" t="n"/>
      <c r="H105" s="9">
        <f>IF(AND(ISNUMBER(F105),G105&lt;&gt;""),IF(F105&gt;DAY(EOMONTH(DATE(VALUE(RIGHT(G105,4)),VALUE(LEFT(G105,2)),1),0)),"Ese día no existe en el mes",DATE(VALUE(RIGHT(G105,4)),VALUE(LEFT(G105,2)),F105)),"")</f>
        <v/>
      </c>
    </row>
    <row r="106" ht="18" customHeight="1">
      <c r="A106" s="5" t="n"/>
      <c r="B106" s="5" t="n"/>
      <c r="C106" s="6">
        <f>IFERROR(INDEX(Productos!$B$2:$B$174,MATCH(B106,Productos!$A$2:$A$174,0)),"")</f>
        <v/>
      </c>
      <c r="D106" s="7">
        <f>IFERROR(INDEX(Productos!$C$2:$C$174,MATCH(B106,Productos!$A$2:$A$174,0)),"")</f>
        <v/>
      </c>
      <c r="E106" s="8" t="n"/>
      <c r="F106" s="8" t="n"/>
      <c r="G106" s="5" t="n"/>
      <c r="H106" s="9">
        <f>IF(AND(ISNUMBER(F106),G106&lt;&gt;""),IF(F106&gt;DAY(EOMONTH(DATE(VALUE(RIGHT(G106,4)),VALUE(LEFT(G106,2)),1),0)),"Ese día no existe en el mes",DATE(VALUE(RIGHT(G106,4)),VALUE(LEFT(G106,2)),F106)),"")</f>
        <v/>
      </c>
    </row>
    <row r="107" ht="18" customHeight="1">
      <c r="A107" s="5" t="n"/>
      <c r="B107" s="5" t="n"/>
      <c r="C107" s="6">
        <f>IFERROR(INDEX(Productos!$B$2:$B$174,MATCH(B107,Productos!$A$2:$A$174,0)),"")</f>
        <v/>
      </c>
      <c r="D107" s="7">
        <f>IFERROR(INDEX(Productos!$C$2:$C$174,MATCH(B107,Productos!$A$2:$A$174,0)),"")</f>
        <v/>
      </c>
      <c r="E107" s="8" t="n"/>
      <c r="F107" s="8" t="n"/>
      <c r="G107" s="5" t="n"/>
      <c r="H107" s="9">
        <f>IF(AND(ISNUMBER(F107),G107&lt;&gt;""),IF(F107&gt;DAY(EOMONTH(DATE(VALUE(RIGHT(G107,4)),VALUE(LEFT(G107,2)),1),0)),"Ese día no existe en el mes",DATE(VALUE(RIGHT(G107,4)),VALUE(LEFT(G107,2)),F107)),"")</f>
        <v/>
      </c>
    </row>
    <row r="108" ht="18" customHeight="1">
      <c r="A108" s="5" t="n"/>
      <c r="B108" s="5" t="n"/>
      <c r="C108" s="6">
        <f>IFERROR(INDEX(Productos!$B$2:$B$174,MATCH(B108,Productos!$A$2:$A$174,0)),"")</f>
        <v/>
      </c>
      <c r="D108" s="7">
        <f>IFERROR(INDEX(Productos!$C$2:$C$174,MATCH(B108,Productos!$A$2:$A$174,0)),"")</f>
        <v/>
      </c>
      <c r="E108" s="8" t="n"/>
      <c r="F108" s="8" t="n"/>
      <c r="G108" s="5" t="n"/>
      <c r="H108" s="9">
        <f>IF(AND(ISNUMBER(F108),G108&lt;&gt;""),IF(F108&gt;DAY(EOMONTH(DATE(VALUE(RIGHT(G108,4)),VALUE(LEFT(G108,2)),1),0)),"Ese día no existe en el mes",DATE(VALUE(RIGHT(G108,4)),VALUE(LEFT(G108,2)),F108)),"")</f>
        <v/>
      </c>
    </row>
    <row r="109" ht="18" customHeight="1">
      <c r="A109" s="5" t="n"/>
      <c r="B109" s="5" t="n"/>
      <c r="C109" s="6">
        <f>IFERROR(INDEX(Productos!$B$2:$B$174,MATCH(B109,Productos!$A$2:$A$174,0)),"")</f>
        <v/>
      </c>
      <c r="D109" s="7">
        <f>IFERROR(INDEX(Productos!$C$2:$C$174,MATCH(B109,Productos!$A$2:$A$174,0)),"")</f>
        <v/>
      </c>
      <c r="E109" s="8" t="n"/>
      <c r="F109" s="8" t="n"/>
      <c r="G109" s="5" t="n"/>
      <c r="H109" s="9">
        <f>IF(AND(ISNUMBER(F109),G109&lt;&gt;""),IF(F109&gt;DAY(EOMONTH(DATE(VALUE(RIGHT(G109,4)),VALUE(LEFT(G109,2)),1),0)),"Ese día no existe en el mes",DATE(VALUE(RIGHT(G109,4)),VALUE(LEFT(G109,2)),F109)),"")</f>
        <v/>
      </c>
    </row>
    <row r="110" ht="18" customHeight="1">
      <c r="A110" s="5" t="n"/>
      <c r="B110" s="5" t="n"/>
      <c r="C110" s="6">
        <f>IFERROR(INDEX(Productos!$B$2:$B$174,MATCH(B110,Productos!$A$2:$A$174,0)),"")</f>
        <v/>
      </c>
      <c r="D110" s="7">
        <f>IFERROR(INDEX(Productos!$C$2:$C$174,MATCH(B110,Productos!$A$2:$A$174,0)),"")</f>
        <v/>
      </c>
      <c r="E110" s="8" t="n"/>
      <c r="F110" s="8" t="n"/>
      <c r="G110" s="5" t="n"/>
      <c r="H110" s="9">
        <f>IF(AND(ISNUMBER(F110),G110&lt;&gt;""),IF(F110&gt;DAY(EOMONTH(DATE(VALUE(RIGHT(G110,4)),VALUE(LEFT(G110,2)),1),0)),"Ese día no existe en el mes",DATE(VALUE(RIGHT(G110,4)),VALUE(LEFT(G110,2)),F110)),"")</f>
        <v/>
      </c>
    </row>
    <row r="111" ht="18" customHeight="1">
      <c r="A111" s="5" t="n"/>
      <c r="B111" s="5" t="n"/>
      <c r="C111" s="6">
        <f>IFERROR(INDEX(Productos!$B$2:$B$174,MATCH(B111,Productos!$A$2:$A$174,0)),"")</f>
        <v/>
      </c>
      <c r="D111" s="7">
        <f>IFERROR(INDEX(Productos!$C$2:$C$174,MATCH(B111,Productos!$A$2:$A$174,0)),"")</f>
        <v/>
      </c>
      <c r="E111" s="8" t="n"/>
      <c r="F111" s="8" t="n"/>
      <c r="G111" s="5" t="n"/>
      <c r="H111" s="9">
        <f>IF(AND(ISNUMBER(F111),G111&lt;&gt;""),IF(F111&gt;DAY(EOMONTH(DATE(VALUE(RIGHT(G111,4)),VALUE(LEFT(G111,2)),1),0)),"Ese día no existe en el mes",DATE(VALUE(RIGHT(G111,4)),VALUE(LEFT(G111,2)),F111)),"")</f>
        <v/>
      </c>
    </row>
    <row r="112" ht="18" customHeight="1">
      <c r="A112" s="5" t="n"/>
      <c r="B112" s="5" t="n"/>
      <c r="C112" s="6">
        <f>IFERROR(INDEX(Productos!$B$2:$B$174,MATCH(B112,Productos!$A$2:$A$174,0)),"")</f>
        <v/>
      </c>
      <c r="D112" s="7">
        <f>IFERROR(INDEX(Productos!$C$2:$C$174,MATCH(B112,Productos!$A$2:$A$174,0)),"")</f>
        <v/>
      </c>
      <c r="E112" s="8" t="n"/>
      <c r="F112" s="8" t="n"/>
      <c r="G112" s="5" t="n"/>
      <c r="H112" s="9">
        <f>IF(AND(ISNUMBER(F112),G112&lt;&gt;""),IF(F112&gt;DAY(EOMONTH(DATE(VALUE(RIGHT(G112,4)),VALUE(LEFT(G112,2)),1),0)),"Ese día no existe en el mes",DATE(VALUE(RIGHT(G112,4)),VALUE(LEFT(G112,2)),F112)),"")</f>
        <v/>
      </c>
    </row>
    <row r="113" ht="18" customHeight="1">
      <c r="A113" s="5" t="n"/>
      <c r="B113" s="5" t="n"/>
      <c r="C113" s="6">
        <f>IFERROR(INDEX(Productos!$B$2:$B$174,MATCH(B113,Productos!$A$2:$A$174,0)),"")</f>
        <v/>
      </c>
      <c r="D113" s="7">
        <f>IFERROR(INDEX(Productos!$C$2:$C$174,MATCH(B113,Productos!$A$2:$A$174,0)),"")</f>
        <v/>
      </c>
      <c r="E113" s="8" t="n"/>
      <c r="F113" s="8" t="n"/>
      <c r="G113" s="5" t="n"/>
      <c r="H113" s="9">
        <f>IF(AND(ISNUMBER(F113),G113&lt;&gt;""),IF(F113&gt;DAY(EOMONTH(DATE(VALUE(RIGHT(G113,4)),VALUE(LEFT(G113,2)),1),0)),"Ese día no existe en el mes",DATE(VALUE(RIGHT(G113,4)),VALUE(LEFT(G113,2)),F113)),"")</f>
        <v/>
      </c>
    </row>
    <row r="114" ht="18" customHeight="1">
      <c r="A114" s="5" t="n"/>
      <c r="B114" s="5" t="n"/>
      <c r="C114" s="6">
        <f>IFERROR(INDEX(Productos!$B$2:$B$174,MATCH(B114,Productos!$A$2:$A$174,0)),"")</f>
        <v/>
      </c>
      <c r="D114" s="7">
        <f>IFERROR(INDEX(Productos!$C$2:$C$174,MATCH(B114,Productos!$A$2:$A$174,0)),"")</f>
        <v/>
      </c>
      <c r="E114" s="8" t="n"/>
      <c r="F114" s="8" t="n"/>
      <c r="G114" s="5" t="n"/>
      <c r="H114" s="9">
        <f>IF(AND(ISNUMBER(F114),G114&lt;&gt;""),IF(F114&gt;DAY(EOMONTH(DATE(VALUE(RIGHT(G114,4)),VALUE(LEFT(G114,2)),1),0)),"Ese día no existe en el mes",DATE(VALUE(RIGHT(G114,4)),VALUE(LEFT(G114,2)),F114)),"")</f>
        <v/>
      </c>
    </row>
    <row r="115" ht="18" customHeight="1">
      <c r="A115" s="5" t="n"/>
      <c r="B115" s="5" t="n"/>
      <c r="C115" s="6">
        <f>IFERROR(INDEX(Productos!$B$2:$B$174,MATCH(B115,Productos!$A$2:$A$174,0)),"")</f>
        <v/>
      </c>
      <c r="D115" s="7">
        <f>IFERROR(INDEX(Productos!$C$2:$C$174,MATCH(B115,Productos!$A$2:$A$174,0)),"")</f>
        <v/>
      </c>
      <c r="E115" s="8" t="n"/>
      <c r="F115" s="8" t="n"/>
      <c r="G115" s="5" t="n"/>
      <c r="H115" s="9">
        <f>IF(AND(ISNUMBER(F115),G115&lt;&gt;""),IF(F115&gt;DAY(EOMONTH(DATE(VALUE(RIGHT(G115,4)),VALUE(LEFT(G115,2)),1),0)),"Ese día no existe en el mes",DATE(VALUE(RIGHT(G115,4)),VALUE(LEFT(G115,2)),F115)),"")</f>
        <v/>
      </c>
    </row>
    <row r="116" ht="18" customHeight="1">
      <c r="A116" s="5" t="n"/>
      <c r="B116" s="5" t="n"/>
      <c r="C116" s="6">
        <f>IFERROR(INDEX(Productos!$B$2:$B$174,MATCH(B116,Productos!$A$2:$A$174,0)),"")</f>
        <v/>
      </c>
      <c r="D116" s="7">
        <f>IFERROR(INDEX(Productos!$C$2:$C$174,MATCH(B116,Productos!$A$2:$A$174,0)),"")</f>
        <v/>
      </c>
      <c r="E116" s="8" t="n"/>
      <c r="F116" s="8" t="n"/>
      <c r="G116" s="5" t="n"/>
      <c r="H116" s="9">
        <f>IF(AND(ISNUMBER(F116),G116&lt;&gt;""),IF(F116&gt;DAY(EOMONTH(DATE(VALUE(RIGHT(G116,4)),VALUE(LEFT(G116,2)),1),0)),"Ese día no existe en el mes",DATE(VALUE(RIGHT(G116,4)),VALUE(LEFT(G116,2)),F116)),"")</f>
        <v/>
      </c>
    </row>
    <row r="117" ht="18" customHeight="1">
      <c r="A117" s="5" t="n"/>
      <c r="B117" s="5" t="n"/>
      <c r="C117" s="6">
        <f>IFERROR(INDEX(Productos!$B$2:$B$174,MATCH(B117,Productos!$A$2:$A$174,0)),"")</f>
        <v/>
      </c>
      <c r="D117" s="7">
        <f>IFERROR(INDEX(Productos!$C$2:$C$174,MATCH(B117,Productos!$A$2:$A$174,0)),"")</f>
        <v/>
      </c>
      <c r="E117" s="8" t="n"/>
      <c r="F117" s="8" t="n"/>
      <c r="G117" s="5" t="n"/>
      <c r="H117" s="9">
        <f>IF(AND(ISNUMBER(F117),G117&lt;&gt;""),IF(F117&gt;DAY(EOMONTH(DATE(VALUE(RIGHT(G117,4)),VALUE(LEFT(G117,2)),1),0)),"Ese día no existe en el mes",DATE(VALUE(RIGHT(G117,4)),VALUE(LEFT(G117,2)),F117)),"")</f>
        <v/>
      </c>
    </row>
    <row r="118" ht="18" customHeight="1">
      <c r="A118" s="5" t="n"/>
      <c r="B118" s="5" t="n"/>
      <c r="C118" s="6">
        <f>IFERROR(INDEX(Productos!$B$2:$B$174,MATCH(B118,Productos!$A$2:$A$174,0)),"")</f>
        <v/>
      </c>
      <c r="D118" s="7">
        <f>IFERROR(INDEX(Productos!$C$2:$C$174,MATCH(B118,Productos!$A$2:$A$174,0)),"")</f>
        <v/>
      </c>
      <c r="E118" s="8" t="n"/>
      <c r="F118" s="8" t="n"/>
      <c r="G118" s="5" t="n"/>
      <c r="H118" s="9">
        <f>IF(AND(ISNUMBER(F118),G118&lt;&gt;""),IF(F118&gt;DAY(EOMONTH(DATE(VALUE(RIGHT(G118,4)),VALUE(LEFT(G118,2)),1),0)),"Ese día no existe en el mes",DATE(VALUE(RIGHT(G118,4)),VALUE(LEFT(G118,2)),F118)),"")</f>
        <v/>
      </c>
    </row>
    <row r="119" ht="18" customHeight="1">
      <c r="A119" s="5" t="n"/>
      <c r="B119" s="5" t="n"/>
      <c r="C119" s="6">
        <f>IFERROR(INDEX(Productos!$B$2:$B$174,MATCH(B119,Productos!$A$2:$A$174,0)),"")</f>
        <v/>
      </c>
      <c r="D119" s="7">
        <f>IFERROR(INDEX(Productos!$C$2:$C$174,MATCH(B119,Productos!$A$2:$A$174,0)),"")</f>
        <v/>
      </c>
      <c r="E119" s="8" t="n"/>
      <c r="F119" s="8" t="n"/>
      <c r="G119" s="5" t="n"/>
      <c r="H119" s="9">
        <f>IF(AND(ISNUMBER(F119),G119&lt;&gt;""),IF(F119&gt;DAY(EOMONTH(DATE(VALUE(RIGHT(G119,4)),VALUE(LEFT(G119,2)),1),0)),"Ese día no existe en el mes",DATE(VALUE(RIGHT(G119,4)),VALUE(LEFT(G119,2)),F119)),"")</f>
        <v/>
      </c>
    </row>
    <row r="120" ht="18" customHeight="1">
      <c r="A120" s="5" t="n"/>
      <c r="B120" s="5" t="n"/>
      <c r="C120" s="6">
        <f>IFERROR(INDEX(Productos!$B$2:$B$174,MATCH(B120,Productos!$A$2:$A$174,0)),"")</f>
        <v/>
      </c>
      <c r="D120" s="7">
        <f>IFERROR(INDEX(Productos!$C$2:$C$174,MATCH(B120,Productos!$A$2:$A$174,0)),"")</f>
        <v/>
      </c>
      <c r="E120" s="8" t="n"/>
      <c r="F120" s="8" t="n"/>
      <c r="G120" s="5" t="n"/>
      <c r="H120" s="9">
        <f>IF(AND(ISNUMBER(F120),G120&lt;&gt;""),IF(F120&gt;DAY(EOMONTH(DATE(VALUE(RIGHT(G120,4)),VALUE(LEFT(G120,2)),1),0)),"Ese día no existe en el mes",DATE(VALUE(RIGHT(G120,4)),VALUE(LEFT(G120,2)),F120)),"")</f>
        <v/>
      </c>
    </row>
    <row r="121" ht="18" customHeight="1">
      <c r="A121" s="5" t="n"/>
      <c r="B121" s="5" t="n"/>
      <c r="C121" s="6">
        <f>IFERROR(INDEX(Productos!$B$2:$B$174,MATCH(B121,Productos!$A$2:$A$174,0)),"")</f>
        <v/>
      </c>
      <c r="D121" s="7">
        <f>IFERROR(INDEX(Productos!$C$2:$C$174,MATCH(B121,Productos!$A$2:$A$174,0)),"")</f>
        <v/>
      </c>
      <c r="E121" s="8" t="n"/>
      <c r="F121" s="8" t="n"/>
      <c r="G121" s="5" t="n"/>
      <c r="H121" s="9">
        <f>IF(AND(ISNUMBER(F121),G121&lt;&gt;""),IF(F121&gt;DAY(EOMONTH(DATE(VALUE(RIGHT(G121,4)),VALUE(LEFT(G121,2)),1),0)),"Ese día no existe en el mes",DATE(VALUE(RIGHT(G121,4)),VALUE(LEFT(G121,2)),F121)),"")</f>
        <v/>
      </c>
    </row>
    <row r="122" ht="18" customHeight="1">
      <c r="A122" s="5" t="n"/>
      <c r="B122" s="5" t="n"/>
      <c r="C122" s="6">
        <f>IFERROR(INDEX(Productos!$B$2:$B$174,MATCH(B122,Productos!$A$2:$A$174,0)),"")</f>
        <v/>
      </c>
      <c r="D122" s="7">
        <f>IFERROR(INDEX(Productos!$C$2:$C$174,MATCH(B122,Productos!$A$2:$A$174,0)),"")</f>
        <v/>
      </c>
      <c r="E122" s="8" t="n"/>
      <c r="F122" s="8" t="n"/>
      <c r="G122" s="5" t="n"/>
      <c r="H122" s="9">
        <f>IF(AND(ISNUMBER(F122),G122&lt;&gt;""),IF(F122&gt;DAY(EOMONTH(DATE(VALUE(RIGHT(G122,4)),VALUE(LEFT(G122,2)),1),0)),"Ese día no existe en el mes",DATE(VALUE(RIGHT(G122,4)),VALUE(LEFT(G122,2)),F122)),"")</f>
        <v/>
      </c>
    </row>
    <row r="123" ht="18" customHeight="1">
      <c r="A123" s="5" t="n"/>
      <c r="B123" s="5" t="n"/>
      <c r="C123" s="6">
        <f>IFERROR(INDEX(Productos!$B$2:$B$174,MATCH(B123,Productos!$A$2:$A$174,0)),"")</f>
        <v/>
      </c>
      <c r="D123" s="7">
        <f>IFERROR(INDEX(Productos!$C$2:$C$174,MATCH(B123,Productos!$A$2:$A$174,0)),"")</f>
        <v/>
      </c>
      <c r="E123" s="8" t="n"/>
      <c r="F123" s="8" t="n"/>
      <c r="G123" s="5" t="n"/>
      <c r="H123" s="9">
        <f>IF(AND(ISNUMBER(F123),G123&lt;&gt;""),IF(F123&gt;DAY(EOMONTH(DATE(VALUE(RIGHT(G123,4)),VALUE(LEFT(G123,2)),1),0)),"Ese día no existe en el mes",DATE(VALUE(RIGHT(G123,4)),VALUE(LEFT(G123,2)),F123)),"")</f>
        <v/>
      </c>
    </row>
    <row r="124" ht="18" customHeight="1">
      <c r="A124" s="5" t="n"/>
      <c r="B124" s="5" t="n"/>
      <c r="C124" s="6">
        <f>IFERROR(INDEX(Productos!$B$2:$B$174,MATCH(B124,Productos!$A$2:$A$174,0)),"")</f>
        <v/>
      </c>
      <c r="D124" s="7">
        <f>IFERROR(INDEX(Productos!$C$2:$C$174,MATCH(B124,Productos!$A$2:$A$174,0)),"")</f>
        <v/>
      </c>
      <c r="E124" s="8" t="n"/>
      <c r="F124" s="8" t="n"/>
      <c r="G124" s="5" t="n"/>
      <c r="H124" s="9">
        <f>IF(AND(ISNUMBER(F124),G124&lt;&gt;""),IF(F124&gt;DAY(EOMONTH(DATE(VALUE(RIGHT(G124,4)),VALUE(LEFT(G124,2)),1),0)),"Ese día no existe en el mes",DATE(VALUE(RIGHT(G124,4)),VALUE(LEFT(G124,2)),F124)),"")</f>
        <v/>
      </c>
    </row>
    <row r="125" ht="18" customHeight="1">
      <c r="A125" s="5" t="n"/>
      <c r="B125" s="5" t="n"/>
      <c r="C125" s="6">
        <f>IFERROR(INDEX(Productos!$B$2:$B$174,MATCH(B125,Productos!$A$2:$A$174,0)),"")</f>
        <v/>
      </c>
      <c r="D125" s="7">
        <f>IFERROR(INDEX(Productos!$C$2:$C$174,MATCH(B125,Productos!$A$2:$A$174,0)),"")</f>
        <v/>
      </c>
      <c r="E125" s="8" t="n"/>
      <c r="F125" s="8" t="n"/>
      <c r="G125" s="5" t="n"/>
      <c r="H125" s="9">
        <f>IF(AND(ISNUMBER(F125),G125&lt;&gt;""),IF(F125&gt;DAY(EOMONTH(DATE(VALUE(RIGHT(G125,4)),VALUE(LEFT(G125,2)),1),0)),"Ese día no existe en el mes",DATE(VALUE(RIGHT(G125,4)),VALUE(LEFT(G125,2)),F125)),"")</f>
        <v/>
      </c>
    </row>
    <row r="126" ht="18" customHeight="1">
      <c r="A126" s="5" t="n"/>
      <c r="B126" s="5" t="n"/>
      <c r="C126" s="6">
        <f>IFERROR(INDEX(Productos!$B$2:$B$174,MATCH(B126,Productos!$A$2:$A$174,0)),"")</f>
        <v/>
      </c>
      <c r="D126" s="7">
        <f>IFERROR(INDEX(Productos!$C$2:$C$174,MATCH(B126,Productos!$A$2:$A$174,0)),"")</f>
        <v/>
      </c>
      <c r="E126" s="8" t="n"/>
      <c r="F126" s="8" t="n"/>
      <c r="G126" s="5" t="n"/>
      <c r="H126" s="9">
        <f>IF(AND(ISNUMBER(F126),G126&lt;&gt;""),IF(F126&gt;DAY(EOMONTH(DATE(VALUE(RIGHT(G126,4)),VALUE(LEFT(G126,2)),1),0)),"Ese día no existe en el mes",DATE(VALUE(RIGHT(G126,4)),VALUE(LEFT(G126,2)),F126)),"")</f>
        <v/>
      </c>
    </row>
    <row r="127" ht="18" customHeight="1">
      <c r="A127" s="5" t="n"/>
      <c r="B127" s="5" t="n"/>
      <c r="C127" s="6">
        <f>IFERROR(INDEX(Productos!$B$2:$B$174,MATCH(B127,Productos!$A$2:$A$174,0)),"")</f>
        <v/>
      </c>
      <c r="D127" s="7">
        <f>IFERROR(INDEX(Productos!$C$2:$C$174,MATCH(B127,Productos!$A$2:$A$174,0)),"")</f>
        <v/>
      </c>
      <c r="E127" s="8" t="n"/>
      <c r="F127" s="8" t="n"/>
      <c r="G127" s="5" t="n"/>
      <c r="H127" s="9">
        <f>IF(AND(ISNUMBER(F127),G127&lt;&gt;""),IF(F127&gt;DAY(EOMONTH(DATE(VALUE(RIGHT(G127,4)),VALUE(LEFT(G127,2)),1),0)),"Ese día no existe en el mes",DATE(VALUE(RIGHT(G127,4)),VALUE(LEFT(G127,2)),F127)),"")</f>
        <v/>
      </c>
    </row>
    <row r="128" ht="18" customHeight="1">
      <c r="A128" s="5" t="n"/>
      <c r="B128" s="5" t="n"/>
      <c r="C128" s="6">
        <f>IFERROR(INDEX(Productos!$B$2:$B$174,MATCH(B128,Productos!$A$2:$A$174,0)),"")</f>
        <v/>
      </c>
      <c r="D128" s="7">
        <f>IFERROR(INDEX(Productos!$C$2:$C$174,MATCH(B128,Productos!$A$2:$A$174,0)),"")</f>
        <v/>
      </c>
      <c r="E128" s="8" t="n"/>
      <c r="F128" s="8" t="n"/>
      <c r="G128" s="5" t="n"/>
      <c r="H128" s="9">
        <f>IF(AND(ISNUMBER(F128),G128&lt;&gt;""),IF(F128&gt;DAY(EOMONTH(DATE(VALUE(RIGHT(G128,4)),VALUE(LEFT(G128,2)),1),0)),"Ese día no existe en el mes",DATE(VALUE(RIGHT(G128,4)),VALUE(LEFT(G128,2)),F128)),"")</f>
        <v/>
      </c>
    </row>
    <row r="129" ht="18" customHeight="1">
      <c r="A129" s="5" t="n"/>
      <c r="B129" s="5" t="n"/>
      <c r="C129" s="6">
        <f>IFERROR(INDEX(Productos!$B$2:$B$174,MATCH(B129,Productos!$A$2:$A$174,0)),"")</f>
        <v/>
      </c>
      <c r="D129" s="7">
        <f>IFERROR(INDEX(Productos!$C$2:$C$174,MATCH(B129,Productos!$A$2:$A$174,0)),"")</f>
        <v/>
      </c>
      <c r="E129" s="8" t="n"/>
      <c r="F129" s="8" t="n"/>
      <c r="G129" s="5" t="n"/>
      <c r="H129" s="9">
        <f>IF(AND(ISNUMBER(F129),G129&lt;&gt;""),IF(F129&gt;DAY(EOMONTH(DATE(VALUE(RIGHT(G129,4)),VALUE(LEFT(G129,2)),1),0)),"Ese día no existe en el mes",DATE(VALUE(RIGHT(G129,4)),VALUE(LEFT(G129,2)),F129)),"")</f>
        <v/>
      </c>
    </row>
    <row r="130" ht="18" customHeight="1">
      <c r="A130" s="5" t="n"/>
      <c r="B130" s="5" t="n"/>
      <c r="C130" s="6">
        <f>IFERROR(INDEX(Productos!$B$2:$B$174,MATCH(B130,Productos!$A$2:$A$174,0)),"")</f>
        <v/>
      </c>
      <c r="D130" s="7">
        <f>IFERROR(INDEX(Productos!$C$2:$C$174,MATCH(B130,Productos!$A$2:$A$174,0)),"")</f>
        <v/>
      </c>
      <c r="E130" s="8" t="n"/>
      <c r="F130" s="8" t="n"/>
      <c r="G130" s="5" t="n"/>
      <c r="H130" s="9">
        <f>IF(AND(ISNUMBER(F130),G130&lt;&gt;""),IF(F130&gt;DAY(EOMONTH(DATE(VALUE(RIGHT(G130,4)),VALUE(LEFT(G130,2)),1),0)),"Ese día no existe en el mes",DATE(VALUE(RIGHT(G130,4)),VALUE(LEFT(G130,2)),F130)),"")</f>
        <v/>
      </c>
    </row>
    <row r="131" ht="18" customHeight="1">
      <c r="A131" s="5" t="n"/>
      <c r="B131" s="5" t="n"/>
      <c r="C131" s="6">
        <f>IFERROR(INDEX(Productos!$B$2:$B$174,MATCH(B131,Productos!$A$2:$A$174,0)),"")</f>
        <v/>
      </c>
      <c r="D131" s="7">
        <f>IFERROR(INDEX(Productos!$C$2:$C$174,MATCH(B131,Productos!$A$2:$A$174,0)),"")</f>
        <v/>
      </c>
      <c r="E131" s="8" t="n"/>
      <c r="F131" s="8" t="n"/>
      <c r="G131" s="5" t="n"/>
      <c r="H131" s="9">
        <f>IF(AND(ISNUMBER(F131),G131&lt;&gt;""),IF(F131&gt;DAY(EOMONTH(DATE(VALUE(RIGHT(G131,4)),VALUE(LEFT(G131,2)),1),0)),"Ese día no existe en el mes",DATE(VALUE(RIGHT(G131,4)),VALUE(LEFT(G131,2)),F131)),"")</f>
        <v/>
      </c>
    </row>
    <row r="132" ht="18" customHeight="1">
      <c r="A132" s="5" t="n"/>
      <c r="B132" s="5" t="n"/>
      <c r="C132" s="6">
        <f>IFERROR(INDEX(Productos!$B$2:$B$174,MATCH(B132,Productos!$A$2:$A$174,0)),"")</f>
        <v/>
      </c>
      <c r="D132" s="7">
        <f>IFERROR(INDEX(Productos!$C$2:$C$174,MATCH(B132,Productos!$A$2:$A$174,0)),"")</f>
        <v/>
      </c>
      <c r="E132" s="8" t="n"/>
      <c r="F132" s="8" t="n"/>
      <c r="G132" s="5" t="n"/>
      <c r="H132" s="9">
        <f>IF(AND(ISNUMBER(F132),G132&lt;&gt;""),IF(F132&gt;DAY(EOMONTH(DATE(VALUE(RIGHT(G132,4)),VALUE(LEFT(G132,2)),1),0)),"Ese día no existe en el mes",DATE(VALUE(RIGHT(G132,4)),VALUE(LEFT(G132,2)),F132)),"")</f>
        <v/>
      </c>
    </row>
    <row r="133" ht="18" customHeight="1">
      <c r="A133" s="5" t="n"/>
      <c r="B133" s="5" t="n"/>
      <c r="C133" s="6">
        <f>IFERROR(INDEX(Productos!$B$2:$B$174,MATCH(B133,Productos!$A$2:$A$174,0)),"")</f>
        <v/>
      </c>
      <c r="D133" s="7">
        <f>IFERROR(INDEX(Productos!$C$2:$C$174,MATCH(B133,Productos!$A$2:$A$174,0)),"")</f>
        <v/>
      </c>
      <c r="E133" s="8" t="n"/>
      <c r="F133" s="8" t="n"/>
      <c r="G133" s="5" t="n"/>
      <c r="H133" s="9">
        <f>IF(AND(ISNUMBER(F133),G133&lt;&gt;""),IF(F133&gt;DAY(EOMONTH(DATE(VALUE(RIGHT(G133,4)),VALUE(LEFT(G133,2)),1),0)),"Ese día no existe en el mes",DATE(VALUE(RIGHT(G133,4)),VALUE(LEFT(G133,2)),F133)),"")</f>
        <v/>
      </c>
    </row>
    <row r="134" ht="18" customHeight="1">
      <c r="A134" s="5" t="n"/>
      <c r="B134" s="5" t="n"/>
      <c r="C134" s="6">
        <f>IFERROR(INDEX(Productos!$B$2:$B$174,MATCH(B134,Productos!$A$2:$A$174,0)),"")</f>
        <v/>
      </c>
      <c r="D134" s="7">
        <f>IFERROR(INDEX(Productos!$C$2:$C$174,MATCH(B134,Productos!$A$2:$A$174,0)),"")</f>
        <v/>
      </c>
      <c r="E134" s="8" t="n"/>
      <c r="F134" s="8" t="n"/>
      <c r="G134" s="5" t="n"/>
      <c r="H134" s="9">
        <f>IF(AND(ISNUMBER(F134),G134&lt;&gt;""),IF(F134&gt;DAY(EOMONTH(DATE(VALUE(RIGHT(G134,4)),VALUE(LEFT(G134,2)),1),0)),"Ese día no existe en el mes",DATE(VALUE(RIGHT(G134,4)),VALUE(LEFT(G134,2)),F134)),"")</f>
        <v/>
      </c>
    </row>
    <row r="135" ht="18" customHeight="1">
      <c r="A135" s="5" t="n"/>
      <c r="B135" s="5" t="n"/>
      <c r="C135" s="6">
        <f>IFERROR(INDEX(Productos!$B$2:$B$174,MATCH(B135,Productos!$A$2:$A$174,0)),"")</f>
        <v/>
      </c>
      <c r="D135" s="7">
        <f>IFERROR(INDEX(Productos!$C$2:$C$174,MATCH(B135,Productos!$A$2:$A$174,0)),"")</f>
        <v/>
      </c>
      <c r="E135" s="8" t="n"/>
      <c r="F135" s="8" t="n"/>
      <c r="G135" s="5" t="n"/>
      <c r="H135" s="9">
        <f>IF(AND(ISNUMBER(F135),G135&lt;&gt;""),IF(F135&gt;DAY(EOMONTH(DATE(VALUE(RIGHT(G135,4)),VALUE(LEFT(G135,2)),1),0)),"Ese día no existe en el mes",DATE(VALUE(RIGHT(G135,4)),VALUE(LEFT(G135,2)),F135)),"")</f>
        <v/>
      </c>
    </row>
    <row r="136" ht="18" customHeight="1">
      <c r="A136" s="5" t="n"/>
      <c r="B136" s="5" t="n"/>
      <c r="C136" s="6">
        <f>IFERROR(INDEX(Productos!$B$2:$B$174,MATCH(B136,Productos!$A$2:$A$174,0)),"")</f>
        <v/>
      </c>
      <c r="D136" s="7">
        <f>IFERROR(INDEX(Productos!$C$2:$C$174,MATCH(B136,Productos!$A$2:$A$174,0)),"")</f>
        <v/>
      </c>
      <c r="E136" s="8" t="n"/>
      <c r="F136" s="8" t="n"/>
      <c r="G136" s="5" t="n"/>
      <c r="H136" s="9">
        <f>IF(AND(ISNUMBER(F136),G136&lt;&gt;""),IF(F136&gt;DAY(EOMONTH(DATE(VALUE(RIGHT(G136,4)),VALUE(LEFT(G136,2)),1),0)),"Ese día no existe en el mes",DATE(VALUE(RIGHT(G136,4)),VALUE(LEFT(G136,2)),F136)),"")</f>
        <v/>
      </c>
    </row>
    <row r="137" ht="18" customHeight="1">
      <c r="A137" s="5" t="n"/>
      <c r="B137" s="5" t="n"/>
      <c r="C137" s="6">
        <f>IFERROR(INDEX(Productos!$B$2:$B$174,MATCH(B137,Productos!$A$2:$A$174,0)),"")</f>
        <v/>
      </c>
      <c r="D137" s="7">
        <f>IFERROR(INDEX(Productos!$C$2:$C$174,MATCH(B137,Productos!$A$2:$A$174,0)),"")</f>
        <v/>
      </c>
      <c r="E137" s="8" t="n"/>
      <c r="F137" s="8" t="n"/>
      <c r="G137" s="5" t="n"/>
      <c r="H137" s="9">
        <f>IF(AND(ISNUMBER(F137),G137&lt;&gt;""),IF(F137&gt;DAY(EOMONTH(DATE(VALUE(RIGHT(G137,4)),VALUE(LEFT(G137,2)),1),0)),"Ese día no existe en el mes",DATE(VALUE(RIGHT(G137,4)),VALUE(LEFT(G137,2)),F137)),"")</f>
        <v/>
      </c>
    </row>
    <row r="138" ht="18" customHeight="1">
      <c r="A138" s="5" t="n"/>
      <c r="B138" s="5" t="n"/>
      <c r="C138" s="6">
        <f>IFERROR(INDEX(Productos!$B$2:$B$174,MATCH(B138,Productos!$A$2:$A$174,0)),"")</f>
        <v/>
      </c>
      <c r="D138" s="7">
        <f>IFERROR(INDEX(Productos!$C$2:$C$174,MATCH(B138,Productos!$A$2:$A$174,0)),"")</f>
        <v/>
      </c>
      <c r="E138" s="8" t="n"/>
      <c r="F138" s="8" t="n"/>
      <c r="G138" s="5" t="n"/>
      <c r="H138" s="9">
        <f>IF(AND(ISNUMBER(F138),G138&lt;&gt;""),IF(F138&gt;DAY(EOMONTH(DATE(VALUE(RIGHT(G138,4)),VALUE(LEFT(G138,2)),1),0)),"Ese día no existe en el mes",DATE(VALUE(RIGHT(G138,4)),VALUE(LEFT(G138,2)),F138)),"")</f>
        <v/>
      </c>
    </row>
    <row r="139" ht="18" customHeight="1">
      <c r="A139" s="5" t="n"/>
      <c r="B139" s="5" t="n"/>
      <c r="C139" s="6">
        <f>IFERROR(INDEX(Productos!$B$2:$B$174,MATCH(B139,Productos!$A$2:$A$174,0)),"")</f>
        <v/>
      </c>
      <c r="D139" s="7">
        <f>IFERROR(INDEX(Productos!$C$2:$C$174,MATCH(B139,Productos!$A$2:$A$174,0)),"")</f>
        <v/>
      </c>
      <c r="E139" s="8" t="n"/>
      <c r="F139" s="8" t="n"/>
      <c r="G139" s="5" t="n"/>
      <c r="H139" s="9">
        <f>IF(AND(ISNUMBER(F139),G139&lt;&gt;""),IF(F139&gt;DAY(EOMONTH(DATE(VALUE(RIGHT(G139,4)),VALUE(LEFT(G139,2)),1),0)),"Ese día no existe en el mes",DATE(VALUE(RIGHT(G139,4)),VALUE(LEFT(G139,2)),F139)),"")</f>
        <v/>
      </c>
    </row>
    <row r="140" ht="18" customHeight="1">
      <c r="A140" s="5" t="n"/>
      <c r="B140" s="5" t="n"/>
      <c r="C140" s="6">
        <f>IFERROR(INDEX(Productos!$B$2:$B$174,MATCH(B140,Productos!$A$2:$A$174,0)),"")</f>
        <v/>
      </c>
      <c r="D140" s="7">
        <f>IFERROR(INDEX(Productos!$C$2:$C$174,MATCH(B140,Productos!$A$2:$A$174,0)),"")</f>
        <v/>
      </c>
      <c r="E140" s="8" t="n"/>
      <c r="F140" s="8" t="n"/>
      <c r="G140" s="5" t="n"/>
      <c r="H140" s="9">
        <f>IF(AND(ISNUMBER(F140),G140&lt;&gt;""),IF(F140&gt;DAY(EOMONTH(DATE(VALUE(RIGHT(G140,4)),VALUE(LEFT(G140,2)),1),0)),"Ese día no existe en el mes",DATE(VALUE(RIGHT(G140,4)),VALUE(LEFT(G140,2)),F140)),"")</f>
        <v/>
      </c>
    </row>
    <row r="141" ht="18" customHeight="1">
      <c r="A141" s="5" t="n"/>
      <c r="B141" s="5" t="n"/>
      <c r="C141" s="6">
        <f>IFERROR(INDEX(Productos!$B$2:$B$174,MATCH(B141,Productos!$A$2:$A$174,0)),"")</f>
        <v/>
      </c>
      <c r="D141" s="7">
        <f>IFERROR(INDEX(Productos!$C$2:$C$174,MATCH(B141,Productos!$A$2:$A$174,0)),"")</f>
        <v/>
      </c>
      <c r="E141" s="8" t="n"/>
      <c r="F141" s="8" t="n"/>
      <c r="G141" s="5" t="n"/>
      <c r="H141" s="9">
        <f>IF(AND(ISNUMBER(F141),G141&lt;&gt;""),IF(F141&gt;DAY(EOMONTH(DATE(VALUE(RIGHT(G141,4)),VALUE(LEFT(G141,2)),1),0)),"Ese día no existe en el mes",DATE(VALUE(RIGHT(G141,4)),VALUE(LEFT(G141,2)),F141)),"")</f>
        <v/>
      </c>
    </row>
    <row r="142" ht="18" customHeight="1">
      <c r="A142" s="5" t="n"/>
      <c r="B142" s="5" t="n"/>
      <c r="C142" s="6">
        <f>IFERROR(INDEX(Productos!$B$2:$B$174,MATCH(B142,Productos!$A$2:$A$174,0)),"")</f>
        <v/>
      </c>
      <c r="D142" s="7">
        <f>IFERROR(INDEX(Productos!$C$2:$C$174,MATCH(B142,Productos!$A$2:$A$174,0)),"")</f>
        <v/>
      </c>
      <c r="E142" s="8" t="n"/>
      <c r="F142" s="8" t="n"/>
      <c r="G142" s="5" t="n"/>
      <c r="H142" s="9">
        <f>IF(AND(ISNUMBER(F142),G142&lt;&gt;""),IF(F142&gt;DAY(EOMONTH(DATE(VALUE(RIGHT(G142,4)),VALUE(LEFT(G142,2)),1),0)),"Ese día no existe en el mes",DATE(VALUE(RIGHT(G142,4)),VALUE(LEFT(G142,2)),F142)),"")</f>
        <v/>
      </c>
    </row>
    <row r="143" ht="18" customHeight="1">
      <c r="A143" s="5" t="n"/>
      <c r="B143" s="5" t="n"/>
      <c r="C143" s="6">
        <f>IFERROR(INDEX(Productos!$B$2:$B$174,MATCH(B143,Productos!$A$2:$A$174,0)),"")</f>
        <v/>
      </c>
      <c r="D143" s="7">
        <f>IFERROR(INDEX(Productos!$C$2:$C$174,MATCH(B143,Productos!$A$2:$A$174,0)),"")</f>
        <v/>
      </c>
      <c r="E143" s="8" t="n"/>
      <c r="F143" s="8" t="n"/>
      <c r="G143" s="5" t="n"/>
      <c r="H143" s="9">
        <f>IF(AND(ISNUMBER(F143),G143&lt;&gt;""),IF(F143&gt;DAY(EOMONTH(DATE(VALUE(RIGHT(G143,4)),VALUE(LEFT(G143,2)),1),0)),"Ese día no existe en el mes",DATE(VALUE(RIGHT(G143,4)),VALUE(LEFT(G143,2)),F143)),"")</f>
        <v/>
      </c>
    </row>
    <row r="144" ht="18" customHeight="1">
      <c r="A144" s="5" t="n"/>
      <c r="B144" s="5" t="n"/>
      <c r="C144" s="6">
        <f>IFERROR(INDEX(Productos!$B$2:$B$174,MATCH(B144,Productos!$A$2:$A$174,0)),"")</f>
        <v/>
      </c>
      <c r="D144" s="7">
        <f>IFERROR(INDEX(Productos!$C$2:$C$174,MATCH(B144,Productos!$A$2:$A$174,0)),"")</f>
        <v/>
      </c>
      <c r="E144" s="8" t="n"/>
      <c r="F144" s="8" t="n"/>
      <c r="G144" s="5" t="n"/>
      <c r="H144" s="9">
        <f>IF(AND(ISNUMBER(F144),G144&lt;&gt;""),IF(F144&gt;DAY(EOMONTH(DATE(VALUE(RIGHT(G144,4)),VALUE(LEFT(G144,2)),1),0)),"Ese día no existe en el mes",DATE(VALUE(RIGHT(G144,4)),VALUE(LEFT(G144,2)),F144)),"")</f>
        <v/>
      </c>
    </row>
    <row r="145" ht="18" customHeight="1">
      <c r="A145" s="5" t="n"/>
      <c r="B145" s="5" t="n"/>
      <c r="C145" s="6">
        <f>IFERROR(INDEX(Productos!$B$2:$B$174,MATCH(B145,Productos!$A$2:$A$174,0)),"")</f>
        <v/>
      </c>
      <c r="D145" s="7">
        <f>IFERROR(INDEX(Productos!$C$2:$C$174,MATCH(B145,Productos!$A$2:$A$174,0)),"")</f>
        <v/>
      </c>
      <c r="E145" s="8" t="n"/>
      <c r="F145" s="8" t="n"/>
      <c r="G145" s="5" t="n"/>
      <c r="H145" s="9">
        <f>IF(AND(ISNUMBER(F145),G145&lt;&gt;""),IF(F145&gt;DAY(EOMONTH(DATE(VALUE(RIGHT(G145,4)),VALUE(LEFT(G145,2)),1),0)),"Ese día no existe en el mes",DATE(VALUE(RIGHT(G145,4)),VALUE(LEFT(G145,2)),F145)),"")</f>
        <v/>
      </c>
    </row>
    <row r="146" ht="18" customHeight="1">
      <c r="A146" s="5" t="n"/>
      <c r="B146" s="5" t="n"/>
      <c r="C146" s="6">
        <f>IFERROR(INDEX(Productos!$B$2:$B$174,MATCH(B146,Productos!$A$2:$A$174,0)),"")</f>
        <v/>
      </c>
      <c r="D146" s="7">
        <f>IFERROR(INDEX(Productos!$C$2:$C$174,MATCH(B146,Productos!$A$2:$A$174,0)),"")</f>
        <v/>
      </c>
      <c r="E146" s="8" t="n"/>
      <c r="F146" s="8" t="n"/>
      <c r="G146" s="5" t="n"/>
      <c r="H146" s="9">
        <f>IF(AND(ISNUMBER(F146),G146&lt;&gt;""),IF(F146&gt;DAY(EOMONTH(DATE(VALUE(RIGHT(G146,4)),VALUE(LEFT(G146,2)),1),0)),"Ese día no existe en el mes",DATE(VALUE(RIGHT(G146,4)),VALUE(LEFT(G146,2)),F146)),"")</f>
        <v/>
      </c>
    </row>
    <row r="147" ht="18" customHeight="1">
      <c r="A147" s="5" t="n"/>
      <c r="B147" s="5" t="n"/>
      <c r="C147" s="6">
        <f>IFERROR(INDEX(Productos!$B$2:$B$174,MATCH(B147,Productos!$A$2:$A$174,0)),"")</f>
        <v/>
      </c>
      <c r="D147" s="7">
        <f>IFERROR(INDEX(Productos!$C$2:$C$174,MATCH(B147,Productos!$A$2:$A$174,0)),"")</f>
        <v/>
      </c>
      <c r="E147" s="8" t="n"/>
      <c r="F147" s="8" t="n"/>
      <c r="G147" s="5" t="n"/>
      <c r="H147" s="9">
        <f>IF(AND(ISNUMBER(F147),G147&lt;&gt;""),IF(F147&gt;DAY(EOMONTH(DATE(VALUE(RIGHT(G147,4)),VALUE(LEFT(G147,2)),1),0)),"Ese día no existe en el mes",DATE(VALUE(RIGHT(G147,4)),VALUE(LEFT(G147,2)),F147)),"")</f>
        <v/>
      </c>
    </row>
    <row r="148" ht="18" customHeight="1">
      <c r="A148" s="5" t="n"/>
      <c r="B148" s="5" t="n"/>
      <c r="C148" s="6">
        <f>IFERROR(INDEX(Productos!$B$2:$B$174,MATCH(B148,Productos!$A$2:$A$174,0)),"")</f>
        <v/>
      </c>
      <c r="D148" s="7">
        <f>IFERROR(INDEX(Productos!$C$2:$C$174,MATCH(B148,Productos!$A$2:$A$174,0)),"")</f>
        <v/>
      </c>
      <c r="E148" s="8" t="n"/>
      <c r="F148" s="8" t="n"/>
      <c r="G148" s="5" t="n"/>
      <c r="H148" s="9">
        <f>IF(AND(ISNUMBER(F148),G148&lt;&gt;""),IF(F148&gt;DAY(EOMONTH(DATE(VALUE(RIGHT(G148,4)),VALUE(LEFT(G148,2)),1),0)),"Ese día no existe en el mes",DATE(VALUE(RIGHT(G148,4)),VALUE(LEFT(G148,2)),F148)),"")</f>
        <v/>
      </c>
    </row>
    <row r="149" ht="18" customHeight="1">
      <c r="A149" s="5" t="n"/>
      <c r="B149" s="5" t="n"/>
      <c r="C149" s="6">
        <f>IFERROR(INDEX(Productos!$B$2:$B$174,MATCH(B149,Productos!$A$2:$A$174,0)),"")</f>
        <v/>
      </c>
      <c r="D149" s="7">
        <f>IFERROR(INDEX(Productos!$C$2:$C$174,MATCH(B149,Productos!$A$2:$A$174,0)),"")</f>
        <v/>
      </c>
      <c r="E149" s="8" t="n"/>
      <c r="F149" s="8" t="n"/>
      <c r="G149" s="5" t="n"/>
      <c r="H149" s="9">
        <f>IF(AND(ISNUMBER(F149),G149&lt;&gt;""),IF(F149&gt;DAY(EOMONTH(DATE(VALUE(RIGHT(G149,4)),VALUE(LEFT(G149,2)),1),0)),"Ese día no existe en el mes",DATE(VALUE(RIGHT(G149,4)),VALUE(LEFT(G149,2)),F149)),"")</f>
        <v/>
      </c>
    </row>
    <row r="150" ht="18" customHeight="1">
      <c r="A150" s="5" t="n"/>
      <c r="B150" s="5" t="n"/>
      <c r="C150" s="6">
        <f>IFERROR(INDEX(Productos!$B$2:$B$174,MATCH(B150,Productos!$A$2:$A$174,0)),"")</f>
        <v/>
      </c>
      <c r="D150" s="7">
        <f>IFERROR(INDEX(Productos!$C$2:$C$174,MATCH(B150,Productos!$A$2:$A$174,0)),"")</f>
        <v/>
      </c>
      <c r="E150" s="8" t="n"/>
      <c r="F150" s="8" t="n"/>
      <c r="G150" s="5" t="n"/>
      <c r="H150" s="9">
        <f>IF(AND(ISNUMBER(F150),G150&lt;&gt;""),IF(F150&gt;DAY(EOMONTH(DATE(VALUE(RIGHT(G150,4)),VALUE(LEFT(G150,2)),1),0)),"Ese día no existe en el mes",DATE(VALUE(RIGHT(G150,4)),VALUE(LEFT(G150,2)),F150)),"")</f>
        <v/>
      </c>
    </row>
    <row r="151" ht="18" customHeight="1">
      <c r="A151" s="5" t="n"/>
      <c r="B151" s="5" t="n"/>
      <c r="C151" s="6">
        <f>IFERROR(INDEX(Productos!$B$2:$B$174,MATCH(B151,Productos!$A$2:$A$174,0)),"")</f>
        <v/>
      </c>
      <c r="D151" s="7">
        <f>IFERROR(INDEX(Productos!$C$2:$C$174,MATCH(B151,Productos!$A$2:$A$174,0)),"")</f>
        <v/>
      </c>
      <c r="E151" s="8" t="n"/>
      <c r="F151" s="8" t="n"/>
      <c r="G151" s="5" t="n"/>
      <c r="H151" s="9">
        <f>IF(AND(ISNUMBER(F151),G151&lt;&gt;""),IF(F151&gt;DAY(EOMONTH(DATE(VALUE(RIGHT(G151,4)),VALUE(LEFT(G151,2)),1),0)),"Ese día no existe en el mes",DATE(VALUE(RIGHT(G151,4)),VALUE(LEFT(G151,2)),F151)),"")</f>
        <v/>
      </c>
    </row>
    <row r="152" ht="18" customHeight="1">
      <c r="A152" s="5" t="n"/>
      <c r="B152" s="5" t="n"/>
      <c r="C152" s="6">
        <f>IFERROR(INDEX(Productos!$B$2:$B$174,MATCH(B152,Productos!$A$2:$A$174,0)),"")</f>
        <v/>
      </c>
      <c r="D152" s="7">
        <f>IFERROR(INDEX(Productos!$C$2:$C$174,MATCH(B152,Productos!$A$2:$A$174,0)),"")</f>
        <v/>
      </c>
      <c r="E152" s="8" t="n"/>
      <c r="F152" s="8" t="n"/>
      <c r="G152" s="5" t="n"/>
      <c r="H152" s="9">
        <f>IF(AND(ISNUMBER(F152),G152&lt;&gt;""),IF(F152&gt;DAY(EOMONTH(DATE(VALUE(RIGHT(G152,4)),VALUE(LEFT(G152,2)),1),0)),"Ese día no existe en el mes",DATE(VALUE(RIGHT(G152,4)),VALUE(LEFT(G152,2)),F152)),"")</f>
        <v/>
      </c>
    </row>
    <row r="153" ht="18" customHeight="1">
      <c r="A153" s="5" t="n"/>
      <c r="B153" s="5" t="n"/>
      <c r="C153" s="6">
        <f>IFERROR(INDEX(Productos!$B$2:$B$174,MATCH(B153,Productos!$A$2:$A$174,0)),"")</f>
        <v/>
      </c>
      <c r="D153" s="7">
        <f>IFERROR(INDEX(Productos!$C$2:$C$174,MATCH(B153,Productos!$A$2:$A$174,0)),"")</f>
        <v/>
      </c>
      <c r="E153" s="8" t="n"/>
      <c r="F153" s="8" t="n"/>
      <c r="G153" s="5" t="n"/>
      <c r="H153" s="9">
        <f>IF(AND(ISNUMBER(F153),G153&lt;&gt;""),IF(F153&gt;DAY(EOMONTH(DATE(VALUE(RIGHT(G153,4)),VALUE(LEFT(G153,2)),1),0)),"Ese día no existe en el mes",DATE(VALUE(RIGHT(G153,4)),VALUE(LEFT(G153,2)),F153)),"")</f>
        <v/>
      </c>
    </row>
    <row r="154" ht="18" customHeight="1">
      <c r="A154" s="5" t="n"/>
      <c r="B154" s="5" t="n"/>
      <c r="C154" s="6">
        <f>IFERROR(INDEX(Productos!$B$2:$B$174,MATCH(B154,Productos!$A$2:$A$174,0)),"")</f>
        <v/>
      </c>
      <c r="D154" s="7">
        <f>IFERROR(INDEX(Productos!$C$2:$C$174,MATCH(B154,Productos!$A$2:$A$174,0)),"")</f>
        <v/>
      </c>
      <c r="E154" s="8" t="n"/>
      <c r="F154" s="8" t="n"/>
      <c r="G154" s="5" t="n"/>
      <c r="H154" s="9">
        <f>IF(AND(ISNUMBER(F154),G154&lt;&gt;""),IF(F154&gt;DAY(EOMONTH(DATE(VALUE(RIGHT(G154,4)),VALUE(LEFT(G154,2)),1),0)),"Ese día no existe en el mes",DATE(VALUE(RIGHT(G154,4)),VALUE(LEFT(G154,2)),F154)),"")</f>
        <v/>
      </c>
    </row>
    <row r="155" ht="18" customHeight="1">
      <c r="A155" s="5" t="n"/>
      <c r="B155" s="5" t="n"/>
      <c r="C155" s="6">
        <f>IFERROR(INDEX(Productos!$B$2:$B$174,MATCH(B155,Productos!$A$2:$A$174,0)),"")</f>
        <v/>
      </c>
      <c r="D155" s="7">
        <f>IFERROR(INDEX(Productos!$C$2:$C$174,MATCH(B155,Productos!$A$2:$A$174,0)),"")</f>
        <v/>
      </c>
      <c r="E155" s="8" t="n"/>
      <c r="F155" s="8" t="n"/>
      <c r="G155" s="5" t="n"/>
      <c r="H155" s="9">
        <f>IF(AND(ISNUMBER(F155),G155&lt;&gt;""),IF(F155&gt;DAY(EOMONTH(DATE(VALUE(RIGHT(G155,4)),VALUE(LEFT(G155,2)),1),0)),"Ese día no existe en el mes",DATE(VALUE(RIGHT(G155,4)),VALUE(LEFT(G155,2)),F155)),"")</f>
        <v/>
      </c>
    </row>
    <row r="156" ht="18" customHeight="1">
      <c r="A156" s="5" t="n"/>
      <c r="B156" s="5" t="n"/>
      <c r="C156" s="6">
        <f>IFERROR(INDEX(Productos!$B$2:$B$174,MATCH(B156,Productos!$A$2:$A$174,0)),"")</f>
        <v/>
      </c>
      <c r="D156" s="7">
        <f>IFERROR(INDEX(Productos!$C$2:$C$174,MATCH(B156,Productos!$A$2:$A$174,0)),"")</f>
        <v/>
      </c>
      <c r="E156" s="8" t="n"/>
      <c r="F156" s="8" t="n"/>
      <c r="G156" s="5" t="n"/>
      <c r="H156" s="9">
        <f>IF(AND(ISNUMBER(F156),G156&lt;&gt;""),IF(F156&gt;DAY(EOMONTH(DATE(VALUE(RIGHT(G156,4)),VALUE(LEFT(G156,2)),1),0)),"Ese día no existe en el mes",DATE(VALUE(RIGHT(G156,4)),VALUE(LEFT(G156,2)),F156)),"")</f>
        <v/>
      </c>
    </row>
    <row r="157" ht="18" customHeight="1">
      <c r="A157" s="5" t="n"/>
      <c r="B157" s="5" t="n"/>
      <c r="C157" s="6">
        <f>IFERROR(INDEX(Productos!$B$2:$B$174,MATCH(B157,Productos!$A$2:$A$174,0)),"")</f>
        <v/>
      </c>
      <c r="D157" s="7">
        <f>IFERROR(INDEX(Productos!$C$2:$C$174,MATCH(B157,Productos!$A$2:$A$174,0)),"")</f>
        <v/>
      </c>
      <c r="E157" s="8" t="n"/>
      <c r="F157" s="8" t="n"/>
      <c r="G157" s="5" t="n"/>
      <c r="H157" s="9">
        <f>IF(AND(ISNUMBER(F157),G157&lt;&gt;""),IF(F157&gt;DAY(EOMONTH(DATE(VALUE(RIGHT(G157,4)),VALUE(LEFT(G157,2)),1),0)),"Ese día no existe en el mes",DATE(VALUE(RIGHT(G157,4)),VALUE(LEFT(G157,2)),F157)),"")</f>
        <v/>
      </c>
    </row>
    <row r="158" ht="18" customHeight="1">
      <c r="A158" s="5" t="n"/>
      <c r="B158" s="5" t="n"/>
      <c r="C158" s="6">
        <f>IFERROR(INDEX(Productos!$B$2:$B$174,MATCH(B158,Productos!$A$2:$A$174,0)),"")</f>
        <v/>
      </c>
      <c r="D158" s="7">
        <f>IFERROR(INDEX(Productos!$C$2:$C$174,MATCH(B158,Productos!$A$2:$A$174,0)),"")</f>
        <v/>
      </c>
      <c r="E158" s="8" t="n"/>
      <c r="F158" s="8" t="n"/>
      <c r="G158" s="5" t="n"/>
      <c r="H158" s="9">
        <f>IF(AND(ISNUMBER(F158),G158&lt;&gt;""),IF(F158&gt;DAY(EOMONTH(DATE(VALUE(RIGHT(G158,4)),VALUE(LEFT(G158,2)),1),0)),"Ese día no existe en el mes",DATE(VALUE(RIGHT(G158,4)),VALUE(LEFT(G158,2)),F158)),"")</f>
        <v/>
      </c>
    </row>
    <row r="159" ht="18" customHeight="1">
      <c r="A159" s="5" t="n"/>
      <c r="B159" s="5" t="n"/>
      <c r="C159" s="6">
        <f>IFERROR(INDEX(Productos!$B$2:$B$174,MATCH(B159,Productos!$A$2:$A$174,0)),"")</f>
        <v/>
      </c>
      <c r="D159" s="7">
        <f>IFERROR(INDEX(Productos!$C$2:$C$174,MATCH(B159,Productos!$A$2:$A$174,0)),"")</f>
        <v/>
      </c>
      <c r="E159" s="8" t="n"/>
      <c r="F159" s="8" t="n"/>
      <c r="G159" s="5" t="n"/>
      <c r="H159" s="9">
        <f>IF(AND(ISNUMBER(F159),G159&lt;&gt;""),IF(F159&gt;DAY(EOMONTH(DATE(VALUE(RIGHT(G159,4)),VALUE(LEFT(G159,2)),1),0)),"Ese día no existe en el mes",DATE(VALUE(RIGHT(G159,4)),VALUE(LEFT(G159,2)),F159)),"")</f>
        <v/>
      </c>
    </row>
    <row r="160" ht="18" customHeight="1">
      <c r="A160" s="5" t="n"/>
      <c r="B160" s="5" t="n"/>
      <c r="C160" s="6">
        <f>IFERROR(INDEX(Productos!$B$2:$B$174,MATCH(B160,Productos!$A$2:$A$174,0)),"")</f>
        <v/>
      </c>
      <c r="D160" s="7">
        <f>IFERROR(INDEX(Productos!$C$2:$C$174,MATCH(B160,Productos!$A$2:$A$174,0)),"")</f>
        <v/>
      </c>
      <c r="E160" s="8" t="n"/>
      <c r="F160" s="8" t="n"/>
      <c r="G160" s="5" t="n"/>
      <c r="H160" s="9">
        <f>IF(AND(ISNUMBER(F160),G160&lt;&gt;""),IF(F160&gt;DAY(EOMONTH(DATE(VALUE(RIGHT(G160,4)),VALUE(LEFT(G160,2)),1),0)),"Ese día no existe en el mes",DATE(VALUE(RIGHT(G160,4)),VALUE(LEFT(G160,2)),F160)),"")</f>
        <v/>
      </c>
    </row>
    <row r="161" ht="18" customHeight="1">
      <c r="A161" s="5" t="n"/>
      <c r="B161" s="5" t="n"/>
      <c r="C161" s="6">
        <f>IFERROR(INDEX(Productos!$B$2:$B$174,MATCH(B161,Productos!$A$2:$A$174,0)),"")</f>
        <v/>
      </c>
      <c r="D161" s="7">
        <f>IFERROR(INDEX(Productos!$C$2:$C$174,MATCH(B161,Productos!$A$2:$A$174,0)),"")</f>
        <v/>
      </c>
      <c r="E161" s="8" t="n"/>
      <c r="F161" s="8" t="n"/>
      <c r="G161" s="5" t="n"/>
      <c r="H161" s="9">
        <f>IF(AND(ISNUMBER(F161),G161&lt;&gt;""),IF(F161&gt;DAY(EOMONTH(DATE(VALUE(RIGHT(G161,4)),VALUE(LEFT(G161,2)),1),0)),"Ese día no existe en el mes",DATE(VALUE(RIGHT(G161,4)),VALUE(LEFT(G161,2)),F161)),"")</f>
        <v/>
      </c>
    </row>
    <row r="162" ht="18" customHeight="1">
      <c r="A162" s="5" t="n"/>
      <c r="B162" s="5" t="n"/>
      <c r="C162" s="6">
        <f>IFERROR(INDEX(Productos!$B$2:$B$174,MATCH(B162,Productos!$A$2:$A$174,0)),"")</f>
        <v/>
      </c>
      <c r="D162" s="7">
        <f>IFERROR(INDEX(Productos!$C$2:$C$174,MATCH(B162,Productos!$A$2:$A$174,0)),"")</f>
        <v/>
      </c>
      <c r="E162" s="8" t="n"/>
      <c r="F162" s="8" t="n"/>
      <c r="G162" s="5" t="n"/>
      <c r="H162" s="9">
        <f>IF(AND(ISNUMBER(F162),G162&lt;&gt;""),IF(F162&gt;DAY(EOMONTH(DATE(VALUE(RIGHT(G162,4)),VALUE(LEFT(G162,2)),1),0)),"Ese día no existe en el mes",DATE(VALUE(RIGHT(G162,4)),VALUE(LEFT(G162,2)),F162)),"")</f>
        <v/>
      </c>
    </row>
    <row r="163" ht="18" customHeight="1">
      <c r="A163" s="5" t="n"/>
      <c r="B163" s="5" t="n"/>
      <c r="C163" s="6">
        <f>IFERROR(INDEX(Productos!$B$2:$B$174,MATCH(B163,Productos!$A$2:$A$174,0)),"")</f>
        <v/>
      </c>
      <c r="D163" s="7">
        <f>IFERROR(INDEX(Productos!$C$2:$C$174,MATCH(B163,Productos!$A$2:$A$174,0)),"")</f>
        <v/>
      </c>
      <c r="E163" s="8" t="n"/>
      <c r="F163" s="8" t="n"/>
      <c r="G163" s="5" t="n"/>
      <c r="H163" s="9">
        <f>IF(AND(ISNUMBER(F163),G163&lt;&gt;""),IF(F163&gt;DAY(EOMONTH(DATE(VALUE(RIGHT(G163,4)),VALUE(LEFT(G163,2)),1),0)),"Ese día no existe en el mes",DATE(VALUE(RIGHT(G163,4)),VALUE(LEFT(G163,2)),F163)),"")</f>
        <v/>
      </c>
    </row>
    <row r="164" ht="18" customHeight="1">
      <c r="A164" s="5" t="n"/>
      <c r="B164" s="5" t="n"/>
      <c r="C164" s="6">
        <f>IFERROR(INDEX(Productos!$B$2:$B$174,MATCH(B164,Productos!$A$2:$A$174,0)),"")</f>
        <v/>
      </c>
      <c r="D164" s="7">
        <f>IFERROR(INDEX(Productos!$C$2:$C$174,MATCH(B164,Productos!$A$2:$A$174,0)),"")</f>
        <v/>
      </c>
      <c r="E164" s="8" t="n"/>
      <c r="F164" s="8" t="n"/>
      <c r="G164" s="5" t="n"/>
      <c r="H164" s="9">
        <f>IF(AND(ISNUMBER(F164),G164&lt;&gt;""),IF(F164&gt;DAY(EOMONTH(DATE(VALUE(RIGHT(G164,4)),VALUE(LEFT(G164,2)),1),0)),"Ese día no existe en el mes",DATE(VALUE(RIGHT(G164,4)),VALUE(LEFT(G164,2)),F164)),"")</f>
        <v/>
      </c>
    </row>
    <row r="165" ht="18" customHeight="1">
      <c r="A165" s="5" t="n"/>
      <c r="B165" s="5" t="n"/>
      <c r="C165" s="6">
        <f>IFERROR(INDEX(Productos!$B$2:$B$174,MATCH(B165,Productos!$A$2:$A$174,0)),"")</f>
        <v/>
      </c>
      <c r="D165" s="7">
        <f>IFERROR(INDEX(Productos!$C$2:$C$174,MATCH(B165,Productos!$A$2:$A$174,0)),"")</f>
        <v/>
      </c>
      <c r="E165" s="8" t="n"/>
      <c r="F165" s="8" t="n"/>
      <c r="G165" s="5" t="n"/>
      <c r="H165" s="9">
        <f>IF(AND(ISNUMBER(F165),G165&lt;&gt;""),IF(F165&gt;DAY(EOMONTH(DATE(VALUE(RIGHT(G165,4)),VALUE(LEFT(G165,2)),1),0)),"Ese día no existe en el mes",DATE(VALUE(RIGHT(G165,4)),VALUE(LEFT(G165,2)),F165)),"")</f>
        <v/>
      </c>
    </row>
    <row r="166" ht="18" customHeight="1">
      <c r="A166" s="5" t="n"/>
      <c r="B166" s="5" t="n"/>
      <c r="C166" s="6">
        <f>IFERROR(INDEX(Productos!$B$2:$B$174,MATCH(B166,Productos!$A$2:$A$174,0)),"")</f>
        <v/>
      </c>
      <c r="D166" s="7">
        <f>IFERROR(INDEX(Productos!$C$2:$C$174,MATCH(B166,Productos!$A$2:$A$174,0)),"")</f>
        <v/>
      </c>
      <c r="E166" s="8" t="n"/>
      <c r="F166" s="8" t="n"/>
      <c r="G166" s="5" t="n"/>
      <c r="H166" s="9">
        <f>IF(AND(ISNUMBER(F166),G166&lt;&gt;""),IF(F166&gt;DAY(EOMONTH(DATE(VALUE(RIGHT(G166,4)),VALUE(LEFT(G166,2)),1),0)),"Ese día no existe en el mes",DATE(VALUE(RIGHT(G166,4)),VALUE(LEFT(G166,2)),F166)),"")</f>
        <v/>
      </c>
    </row>
    <row r="167" ht="18" customHeight="1">
      <c r="A167" s="5" t="n"/>
      <c r="B167" s="5" t="n"/>
      <c r="C167" s="6">
        <f>IFERROR(INDEX(Productos!$B$2:$B$174,MATCH(B167,Productos!$A$2:$A$174,0)),"")</f>
        <v/>
      </c>
      <c r="D167" s="7">
        <f>IFERROR(INDEX(Productos!$C$2:$C$174,MATCH(B167,Productos!$A$2:$A$174,0)),"")</f>
        <v/>
      </c>
      <c r="E167" s="8" t="n"/>
      <c r="F167" s="8" t="n"/>
      <c r="G167" s="5" t="n"/>
      <c r="H167" s="9">
        <f>IF(AND(ISNUMBER(F167),G167&lt;&gt;""),IF(F167&gt;DAY(EOMONTH(DATE(VALUE(RIGHT(G167,4)),VALUE(LEFT(G167,2)),1),0)),"Ese día no existe en el mes",DATE(VALUE(RIGHT(G167,4)),VALUE(LEFT(G167,2)),F167)),"")</f>
        <v/>
      </c>
    </row>
    <row r="168" ht="18" customHeight="1">
      <c r="A168" s="5" t="n"/>
      <c r="B168" s="5" t="n"/>
      <c r="C168" s="6">
        <f>IFERROR(INDEX(Productos!$B$2:$B$174,MATCH(B168,Productos!$A$2:$A$174,0)),"")</f>
        <v/>
      </c>
      <c r="D168" s="7">
        <f>IFERROR(INDEX(Productos!$C$2:$C$174,MATCH(B168,Productos!$A$2:$A$174,0)),"")</f>
        <v/>
      </c>
      <c r="E168" s="8" t="n"/>
      <c r="F168" s="8" t="n"/>
      <c r="G168" s="5" t="n"/>
      <c r="H168" s="9">
        <f>IF(AND(ISNUMBER(F168),G168&lt;&gt;""),IF(F168&gt;DAY(EOMONTH(DATE(VALUE(RIGHT(G168,4)),VALUE(LEFT(G168,2)),1),0)),"Ese día no existe en el mes",DATE(VALUE(RIGHT(G168,4)),VALUE(LEFT(G168,2)),F168)),"")</f>
        <v/>
      </c>
    </row>
    <row r="169" ht="18" customHeight="1">
      <c r="A169" s="5" t="n"/>
      <c r="B169" s="5" t="n"/>
      <c r="C169" s="6">
        <f>IFERROR(INDEX(Productos!$B$2:$B$174,MATCH(B169,Productos!$A$2:$A$174,0)),"")</f>
        <v/>
      </c>
      <c r="D169" s="7">
        <f>IFERROR(INDEX(Productos!$C$2:$C$174,MATCH(B169,Productos!$A$2:$A$174,0)),"")</f>
        <v/>
      </c>
      <c r="E169" s="8" t="n"/>
      <c r="F169" s="8" t="n"/>
      <c r="G169" s="5" t="n"/>
      <c r="H169" s="9">
        <f>IF(AND(ISNUMBER(F169),G169&lt;&gt;""),IF(F169&gt;DAY(EOMONTH(DATE(VALUE(RIGHT(G169,4)),VALUE(LEFT(G169,2)),1),0)),"Ese día no existe en el mes",DATE(VALUE(RIGHT(G169,4)),VALUE(LEFT(G169,2)),F169)),"")</f>
        <v/>
      </c>
    </row>
    <row r="170" ht="18" customHeight="1">
      <c r="A170" s="5" t="n"/>
      <c r="B170" s="5" t="n"/>
      <c r="C170" s="6">
        <f>IFERROR(INDEX(Productos!$B$2:$B$174,MATCH(B170,Productos!$A$2:$A$174,0)),"")</f>
        <v/>
      </c>
      <c r="D170" s="7">
        <f>IFERROR(INDEX(Productos!$C$2:$C$174,MATCH(B170,Productos!$A$2:$A$174,0)),"")</f>
        <v/>
      </c>
      <c r="E170" s="8" t="n"/>
      <c r="F170" s="8" t="n"/>
      <c r="G170" s="5" t="n"/>
      <c r="H170" s="9">
        <f>IF(AND(ISNUMBER(F170),G170&lt;&gt;""),IF(F170&gt;DAY(EOMONTH(DATE(VALUE(RIGHT(G170,4)),VALUE(LEFT(G170,2)),1),0)),"Ese día no existe en el mes",DATE(VALUE(RIGHT(G170,4)),VALUE(LEFT(G170,2)),F170)),"")</f>
        <v/>
      </c>
    </row>
    <row r="171" ht="18" customHeight="1">
      <c r="A171" s="5" t="n"/>
      <c r="B171" s="5" t="n"/>
      <c r="C171" s="6">
        <f>IFERROR(INDEX(Productos!$B$2:$B$174,MATCH(B171,Productos!$A$2:$A$174,0)),"")</f>
        <v/>
      </c>
      <c r="D171" s="7">
        <f>IFERROR(INDEX(Productos!$C$2:$C$174,MATCH(B171,Productos!$A$2:$A$174,0)),"")</f>
        <v/>
      </c>
      <c r="E171" s="8" t="n"/>
      <c r="F171" s="8" t="n"/>
      <c r="G171" s="5" t="n"/>
      <c r="H171" s="9">
        <f>IF(AND(ISNUMBER(F171),G171&lt;&gt;""),IF(F171&gt;DAY(EOMONTH(DATE(VALUE(RIGHT(G171,4)),VALUE(LEFT(G171,2)),1),0)),"Ese día no existe en el mes",DATE(VALUE(RIGHT(G171,4)),VALUE(LEFT(G171,2)),F171)),"")</f>
        <v/>
      </c>
    </row>
    <row r="172" ht="18" customHeight="1">
      <c r="A172" s="5" t="n"/>
      <c r="B172" s="5" t="n"/>
      <c r="C172" s="6">
        <f>IFERROR(INDEX(Productos!$B$2:$B$174,MATCH(B172,Productos!$A$2:$A$174,0)),"")</f>
        <v/>
      </c>
      <c r="D172" s="7">
        <f>IFERROR(INDEX(Productos!$C$2:$C$174,MATCH(B172,Productos!$A$2:$A$174,0)),"")</f>
        <v/>
      </c>
      <c r="E172" s="8" t="n"/>
      <c r="F172" s="8" t="n"/>
      <c r="G172" s="5" t="n"/>
      <c r="H172" s="9">
        <f>IF(AND(ISNUMBER(F172),G172&lt;&gt;""),IF(F172&gt;DAY(EOMONTH(DATE(VALUE(RIGHT(G172,4)),VALUE(LEFT(G172,2)),1),0)),"Ese día no existe en el mes",DATE(VALUE(RIGHT(G172,4)),VALUE(LEFT(G172,2)),F172)),"")</f>
        <v/>
      </c>
    </row>
    <row r="173" ht="18" customHeight="1">
      <c r="A173" s="5" t="n"/>
      <c r="B173" s="5" t="n"/>
      <c r="C173" s="6">
        <f>IFERROR(INDEX(Productos!$B$2:$B$174,MATCH(B173,Productos!$A$2:$A$174,0)),"")</f>
        <v/>
      </c>
      <c r="D173" s="7">
        <f>IFERROR(INDEX(Productos!$C$2:$C$174,MATCH(B173,Productos!$A$2:$A$174,0)),"")</f>
        <v/>
      </c>
      <c r="E173" s="8" t="n"/>
      <c r="F173" s="8" t="n"/>
      <c r="G173" s="5" t="n"/>
      <c r="H173" s="9">
        <f>IF(AND(ISNUMBER(F173),G173&lt;&gt;""),IF(F173&gt;DAY(EOMONTH(DATE(VALUE(RIGHT(G173,4)),VALUE(LEFT(G173,2)),1),0)),"Ese día no existe en el mes",DATE(VALUE(RIGHT(G173,4)),VALUE(LEFT(G173,2)),F173)),"")</f>
        <v/>
      </c>
    </row>
    <row r="174" ht="18" customHeight="1">
      <c r="A174" s="5" t="n"/>
      <c r="B174" s="5" t="n"/>
      <c r="C174" s="6">
        <f>IFERROR(INDEX(Productos!$B$2:$B$174,MATCH(B174,Productos!$A$2:$A$174,0)),"")</f>
        <v/>
      </c>
      <c r="D174" s="7">
        <f>IFERROR(INDEX(Productos!$C$2:$C$174,MATCH(B174,Productos!$A$2:$A$174,0)),"")</f>
        <v/>
      </c>
      <c r="E174" s="8" t="n"/>
      <c r="F174" s="8" t="n"/>
      <c r="G174" s="5" t="n"/>
      <c r="H174" s="9">
        <f>IF(AND(ISNUMBER(F174),G174&lt;&gt;""),IF(F174&gt;DAY(EOMONTH(DATE(VALUE(RIGHT(G174,4)),VALUE(LEFT(G174,2)),1),0)),"Ese día no existe en el mes",DATE(VALUE(RIGHT(G174,4)),VALUE(LEFT(G174,2)),F174)),"")</f>
        <v/>
      </c>
    </row>
    <row r="175" ht="18" customHeight="1">
      <c r="A175" s="5" t="n"/>
      <c r="B175" s="5" t="n"/>
      <c r="C175" s="6">
        <f>IFERROR(INDEX(Productos!$B$2:$B$174,MATCH(B175,Productos!$A$2:$A$174,0)),"")</f>
        <v/>
      </c>
      <c r="D175" s="7">
        <f>IFERROR(INDEX(Productos!$C$2:$C$174,MATCH(B175,Productos!$A$2:$A$174,0)),"")</f>
        <v/>
      </c>
      <c r="E175" s="8" t="n"/>
      <c r="F175" s="8" t="n"/>
      <c r="G175" s="5" t="n"/>
      <c r="H175" s="9">
        <f>IF(AND(ISNUMBER(F175),G175&lt;&gt;""),IF(F175&gt;DAY(EOMONTH(DATE(VALUE(RIGHT(G175,4)),VALUE(LEFT(G175,2)),1),0)),"Ese día no existe en el mes",DATE(VALUE(RIGHT(G175,4)),VALUE(LEFT(G175,2)),F175)),"")</f>
        <v/>
      </c>
    </row>
    <row r="176" ht="18" customHeight="1">
      <c r="A176" s="5" t="n"/>
      <c r="B176" s="5" t="n"/>
      <c r="C176" s="6">
        <f>IFERROR(INDEX(Productos!$B$2:$B$174,MATCH(B176,Productos!$A$2:$A$174,0)),"")</f>
        <v/>
      </c>
      <c r="D176" s="7">
        <f>IFERROR(INDEX(Productos!$C$2:$C$174,MATCH(B176,Productos!$A$2:$A$174,0)),"")</f>
        <v/>
      </c>
      <c r="E176" s="8" t="n"/>
      <c r="F176" s="8" t="n"/>
      <c r="G176" s="5" t="n"/>
      <c r="H176" s="9">
        <f>IF(AND(ISNUMBER(F176),G176&lt;&gt;""),IF(F176&gt;DAY(EOMONTH(DATE(VALUE(RIGHT(G176,4)),VALUE(LEFT(G176,2)),1),0)),"Ese día no existe en el mes",DATE(VALUE(RIGHT(G176,4)),VALUE(LEFT(G176,2)),F176)),"")</f>
        <v/>
      </c>
    </row>
    <row r="177" ht="18" customHeight="1">
      <c r="A177" s="5" t="n"/>
      <c r="B177" s="5" t="n"/>
      <c r="C177" s="6">
        <f>IFERROR(INDEX(Productos!$B$2:$B$174,MATCH(B177,Productos!$A$2:$A$174,0)),"")</f>
        <v/>
      </c>
      <c r="D177" s="7">
        <f>IFERROR(INDEX(Productos!$C$2:$C$174,MATCH(B177,Productos!$A$2:$A$174,0)),"")</f>
        <v/>
      </c>
      <c r="E177" s="8" t="n"/>
      <c r="F177" s="8" t="n"/>
      <c r="G177" s="5" t="n"/>
      <c r="H177" s="9">
        <f>IF(AND(ISNUMBER(F177),G177&lt;&gt;""),IF(F177&gt;DAY(EOMONTH(DATE(VALUE(RIGHT(G177,4)),VALUE(LEFT(G177,2)),1),0)),"Ese día no existe en el mes",DATE(VALUE(RIGHT(G177,4)),VALUE(LEFT(G177,2)),F177)),"")</f>
        <v/>
      </c>
    </row>
    <row r="178" ht="18" customHeight="1">
      <c r="A178" s="5" t="n"/>
      <c r="B178" s="5" t="n"/>
      <c r="C178" s="6">
        <f>IFERROR(INDEX(Productos!$B$2:$B$174,MATCH(B178,Productos!$A$2:$A$174,0)),"")</f>
        <v/>
      </c>
      <c r="D178" s="7">
        <f>IFERROR(INDEX(Productos!$C$2:$C$174,MATCH(B178,Productos!$A$2:$A$174,0)),"")</f>
        <v/>
      </c>
      <c r="E178" s="8" t="n"/>
      <c r="F178" s="8" t="n"/>
      <c r="G178" s="5" t="n"/>
      <c r="H178" s="9">
        <f>IF(AND(ISNUMBER(F178),G178&lt;&gt;""),IF(F178&gt;DAY(EOMONTH(DATE(VALUE(RIGHT(G178,4)),VALUE(LEFT(G178,2)),1),0)),"Ese día no existe en el mes",DATE(VALUE(RIGHT(G178,4)),VALUE(LEFT(G178,2)),F178)),"")</f>
        <v/>
      </c>
    </row>
    <row r="179" ht="18" customHeight="1">
      <c r="A179" s="5" t="n"/>
      <c r="B179" s="5" t="n"/>
      <c r="C179" s="6">
        <f>IFERROR(INDEX(Productos!$B$2:$B$174,MATCH(B179,Productos!$A$2:$A$174,0)),"")</f>
        <v/>
      </c>
      <c r="D179" s="7">
        <f>IFERROR(INDEX(Productos!$C$2:$C$174,MATCH(B179,Productos!$A$2:$A$174,0)),"")</f>
        <v/>
      </c>
      <c r="E179" s="8" t="n"/>
      <c r="F179" s="8" t="n"/>
      <c r="G179" s="5" t="n"/>
      <c r="H179" s="9">
        <f>IF(AND(ISNUMBER(F179),G179&lt;&gt;""),IF(F179&gt;DAY(EOMONTH(DATE(VALUE(RIGHT(G179,4)),VALUE(LEFT(G179,2)),1),0)),"Ese día no existe en el mes",DATE(VALUE(RIGHT(G179,4)),VALUE(LEFT(G179,2)),F179)),"")</f>
        <v/>
      </c>
    </row>
    <row r="180" ht="18" customHeight="1">
      <c r="A180" s="5" t="n"/>
      <c r="B180" s="5" t="n"/>
      <c r="C180" s="6">
        <f>IFERROR(INDEX(Productos!$B$2:$B$174,MATCH(B180,Productos!$A$2:$A$174,0)),"")</f>
        <v/>
      </c>
      <c r="D180" s="7">
        <f>IFERROR(INDEX(Productos!$C$2:$C$174,MATCH(B180,Productos!$A$2:$A$174,0)),"")</f>
        <v/>
      </c>
      <c r="E180" s="8" t="n"/>
      <c r="F180" s="8" t="n"/>
      <c r="G180" s="5" t="n"/>
      <c r="H180" s="9">
        <f>IF(AND(ISNUMBER(F180),G180&lt;&gt;""),IF(F180&gt;DAY(EOMONTH(DATE(VALUE(RIGHT(G180,4)),VALUE(LEFT(G180,2)),1),0)),"Ese día no existe en el mes",DATE(VALUE(RIGHT(G180,4)),VALUE(LEFT(G180,2)),F180)),"")</f>
        <v/>
      </c>
    </row>
    <row r="181" ht="18" customHeight="1">
      <c r="A181" s="5" t="n"/>
      <c r="B181" s="5" t="n"/>
      <c r="C181" s="6">
        <f>IFERROR(INDEX(Productos!$B$2:$B$174,MATCH(B181,Productos!$A$2:$A$174,0)),"")</f>
        <v/>
      </c>
      <c r="D181" s="7">
        <f>IFERROR(INDEX(Productos!$C$2:$C$174,MATCH(B181,Productos!$A$2:$A$174,0)),"")</f>
        <v/>
      </c>
      <c r="E181" s="8" t="n"/>
      <c r="F181" s="8" t="n"/>
      <c r="G181" s="5" t="n"/>
      <c r="H181" s="9">
        <f>IF(AND(ISNUMBER(F181),G181&lt;&gt;""),IF(F181&gt;DAY(EOMONTH(DATE(VALUE(RIGHT(G181,4)),VALUE(LEFT(G181,2)),1),0)),"Ese día no existe en el mes",DATE(VALUE(RIGHT(G181,4)),VALUE(LEFT(G181,2)),F181)),"")</f>
        <v/>
      </c>
    </row>
    <row r="182" ht="18" customHeight="1">
      <c r="A182" s="5" t="n"/>
      <c r="B182" s="5" t="n"/>
      <c r="C182" s="6">
        <f>IFERROR(INDEX(Productos!$B$2:$B$174,MATCH(B182,Productos!$A$2:$A$174,0)),"")</f>
        <v/>
      </c>
      <c r="D182" s="7">
        <f>IFERROR(INDEX(Productos!$C$2:$C$174,MATCH(B182,Productos!$A$2:$A$174,0)),"")</f>
        <v/>
      </c>
      <c r="E182" s="8" t="n"/>
      <c r="F182" s="8" t="n"/>
      <c r="G182" s="5" t="n"/>
      <c r="H182" s="9">
        <f>IF(AND(ISNUMBER(F182),G182&lt;&gt;""),IF(F182&gt;DAY(EOMONTH(DATE(VALUE(RIGHT(G182,4)),VALUE(LEFT(G182,2)),1),0)),"Ese día no existe en el mes",DATE(VALUE(RIGHT(G182,4)),VALUE(LEFT(G182,2)),F182)),"")</f>
        <v/>
      </c>
    </row>
    <row r="183" ht="18" customHeight="1">
      <c r="A183" s="5" t="n"/>
      <c r="B183" s="5" t="n"/>
      <c r="C183" s="6">
        <f>IFERROR(INDEX(Productos!$B$2:$B$174,MATCH(B183,Productos!$A$2:$A$174,0)),"")</f>
        <v/>
      </c>
      <c r="D183" s="7">
        <f>IFERROR(INDEX(Productos!$C$2:$C$174,MATCH(B183,Productos!$A$2:$A$174,0)),"")</f>
        <v/>
      </c>
      <c r="E183" s="8" t="n"/>
      <c r="F183" s="8" t="n"/>
      <c r="G183" s="5" t="n"/>
      <c r="H183" s="9">
        <f>IF(AND(ISNUMBER(F183),G183&lt;&gt;""),IF(F183&gt;DAY(EOMONTH(DATE(VALUE(RIGHT(G183,4)),VALUE(LEFT(G183,2)),1),0)),"Ese día no existe en el mes",DATE(VALUE(RIGHT(G183,4)),VALUE(LEFT(G183,2)),F183)),"")</f>
        <v/>
      </c>
    </row>
    <row r="184" ht="18" customHeight="1">
      <c r="A184" s="5" t="n"/>
      <c r="B184" s="5" t="n"/>
      <c r="C184" s="6">
        <f>IFERROR(INDEX(Productos!$B$2:$B$174,MATCH(B184,Productos!$A$2:$A$174,0)),"")</f>
        <v/>
      </c>
      <c r="D184" s="7">
        <f>IFERROR(INDEX(Productos!$C$2:$C$174,MATCH(B184,Productos!$A$2:$A$174,0)),"")</f>
        <v/>
      </c>
      <c r="E184" s="8" t="n"/>
      <c r="F184" s="8" t="n"/>
      <c r="G184" s="5" t="n"/>
      <c r="H184" s="9">
        <f>IF(AND(ISNUMBER(F184),G184&lt;&gt;""),IF(F184&gt;DAY(EOMONTH(DATE(VALUE(RIGHT(G184,4)),VALUE(LEFT(G184,2)),1),0)),"Ese día no existe en el mes",DATE(VALUE(RIGHT(G184,4)),VALUE(LEFT(G184,2)),F184)),"")</f>
        <v/>
      </c>
    </row>
    <row r="185" ht="18" customHeight="1">
      <c r="A185" s="5" t="n"/>
      <c r="B185" s="5" t="n"/>
      <c r="C185" s="6">
        <f>IFERROR(INDEX(Productos!$B$2:$B$174,MATCH(B185,Productos!$A$2:$A$174,0)),"")</f>
        <v/>
      </c>
      <c r="D185" s="7">
        <f>IFERROR(INDEX(Productos!$C$2:$C$174,MATCH(B185,Productos!$A$2:$A$174,0)),"")</f>
        <v/>
      </c>
      <c r="E185" s="8" t="n"/>
      <c r="F185" s="8" t="n"/>
      <c r="G185" s="5" t="n"/>
      <c r="H185" s="9">
        <f>IF(AND(ISNUMBER(F185),G185&lt;&gt;""),IF(F185&gt;DAY(EOMONTH(DATE(VALUE(RIGHT(G185,4)),VALUE(LEFT(G185,2)),1),0)),"Ese día no existe en el mes",DATE(VALUE(RIGHT(G185,4)),VALUE(LEFT(G185,2)),F185)),"")</f>
        <v/>
      </c>
    </row>
    <row r="186" ht="18" customHeight="1">
      <c r="A186" s="5" t="n"/>
      <c r="B186" s="5" t="n"/>
      <c r="C186" s="6">
        <f>IFERROR(INDEX(Productos!$B$2:$B$174,MATCH(B186,Productos!$A$2:$A$174,0)),"")</f>
        <v/>
      </c>
      <c r="D186" s="7">
        <f>IFERROR(INDEX(Productos!$C$2:$C$174,MATCH(B186,Productos!$A$2:$A$174,0)),"")</f>
        <v/>
      </c>
      <c r="E186" s="8" t="n"/>
      <c r="F186" s="8" t="n"/>
      <c r="G186" s="5" t="n"/>
      <c r="H186" s="9">
        <f>IF(AND(ISNUMBER(F186),G186&lt;&gt;""),IF(F186&gt;DAY(EOMONTH(DATE(VALUE(RIGHT(G186,4)),VALUE(LEFT(G186,2)),1),0)),"Ese día no existe en el mes",DATE(VALUE(RIGHT(G186,4)),VALUE(LEFT(G186,2)),F186)),"")</f>
        <v/>
      </c>
    </row>
    <row r="187" ht="18" customHeight="1">
      <c r="A187" s="5" t="n"/>
      <c r="B187" s="5" t="n"/>
      <c r="C187" s="6">
        <f>IFERROR(INDEX(Productos!$B$2:$B$174,MATCH(B187,Productos!$A$2:$A$174,0)),"")</f>
        <v/>
      </c>
      <c r="D187" s="7">
        <f>IFERROR(INDEX(Productos!$C$2:$C$174,MATCH(B187,Productos!$A$2:$A$174,0)),"")</f>
        <v/>
      </c>
      <c r="E187" s="8" t="n"/>
      <c r="F187" s="8" t="n"/>
      <c r="G187" s="5" t="n"/>
      <c r="H187" s="9">
        <f>IF(AND(ISNUMBER(F187),G187&lt;&gt;""),IF(F187&gt;DAY(EOMONTH(DATE(VALUE(RIGHT(G187,4)),VALUE(LEFT(G187,2)),1),0)),"Ese día no existe en el mes",DATE(VALUE(RIGHT(G187,4)),VALUE(LEFT(G187,2)),F187)),"")</f>
        <v/>
      </c>
    </row>
    <row r="188" ht="18" customHeight="1">
      <c r="A188" s="5" t="n"/>
      <c r="B188" s="5" t="n"/>
      <c r="C188" s="6">
        <f>IFERROR(INDEX(Productos!$B$2:$B$174,MATCH(B188,Productos!$A$2:$A$174,0)),"")</f>
        <v/>
      </c>
      <c r="D188" s="7">
        <f>IFERROR(INDEX(Productos!$C$2:$C$174,MATCH(B188,Productos!$A$2:$A$174,0)),"")</f>
        <v/>
      </c>
      <c r="E188" s="8" t="n"/>
      <c r="F188" s="8" t="n"/>
      <c r="G188" s="5" t="n"/>
      <c r="H188" s="9">
        <f>IF(AND(ISNUMBER(F188),G188&lt;&gt;""),IF(F188&gt;DAY(EOMONTH(DATE(VALUE(RIGHT(G188,4)),VALUE(LEFT(G188,2)),1),0)),"Ese día no existe en el mes",DATE(VALUE(RIGHT(G188,4)),VALUE(LEFT(G188,2)),F188)),"")</f>
        <v/>
      </c>
    </row>
    <row r="189" ht="18" customHeight="1">
      <c r="A189" s="5" t="n"/>
      <c r="B189" s="5" t="n"/>
      <c r="C189" s="6">
        <f>IFERROR(INDEX(Productos!$B$2:$B$174,MATCH(B189,Productos!$A$2:$A$174,0)),"")</f>
        <v/>
      </c>
      <c r="D189" s="7">
        <f>IFERROR(INDEX(Productos!$C$2:$C$174,MATCH(B189,Productos!$A$2:$A$174,0)),"")</f>
        <v/>
      </c>
      <c r="E189" s="8" t="n"/>
      <c r="F189" s="8" t="n"/>
      <c r="G189" s="5" t="n"/>
      <c r="H189" s="9">
        <f>IF(AND(ISNUMBER(F189),G189&lt;&gt;""),IF(F189&gt;DAY(EOMONTH(DATE(VALUE(RIGHT(G189,4)),VALUE(LEFT(G189,2)),1),0)),"Ese día no existe en el mes",DATE(VALUE(RIGHT(G189,4)),VALUE(LEFT(G189,2)),F189)),"")</f>
        <v/>
      </c>
    </row>
    <row r="190" ht="18" customHeight="1">
      <c r="A190" s="5" t="n"/>
      <c r="B190" s="5" t="n"/>
      <c r="C190" s="6">
        <f>IFERROR(INDEX(Productos!$B$2:$B$174,MATCH(B190,Productos!$A$2:$A$174,0)),"")</f>
        <v/>
      </c>
      <c r="D190" s="7">
        <f>IFERROR(INDEX(Productos!$C$2:$C$174,MATCH(B190,Productos!$A$2:$A$174,0)),"")</f>
        <v/>
      </c>
      <c r="E190" s="8" t="n"/>
      <c r="F190" s="8" t="n"/>
      <c r="G190" s="5" t="n"/>
      <c r="H190" s="9">
        <f>IF(AND(ISNUMBER(F190),G190&lt;&gt;""),IF(F190&gt;DAY(EOMONTH(DATE(VALUE(RIGHT(G190,4)),VALUE(LEFT(G190,2)),1),0)),"Ese día no existe en el mes",DATE(VALUE(RIGHT(G190,4)),VALUE(LEFT(G190,2)),F190)),"")</f>
        <v/>
      </c>
    </row>
    <row r="191" ht="18" customHeight="1">
      <c r="A191" s="5" t="n"/>
      <c r="B191" s="5" t="n"/>
      <c r="C191" s="6">
        <f>IFERROR(INDEX(Productos!$B$2:$B$174,MATCH(B191,Productos!$A$2:$A$174,0)),"")</f>
        <v/>
      </c>
      <c r="D191" s="7">
        <f>IFERROR(INDEX(Productos!$C$2:$C$174,MATCH(B191,Productos!$A$2:$A$174,0)),"")</f>
        <v/>
      </c>
      <c r="E191" s="8" t="n"/>
      <c r="F191" s="8" t="n"/>
      <c r="G191" s="5" t="n"/>
      <c r="H191" s="9">
        <f>IF(AND(ISNUMBER(F191),G191&lt;&gt;""),IF(F191&gt;DAY(EOMONTH(DATE(VALUE(RIGHT(G191,4)),VALUE(LEFT(G191,2)),1),0)),"Ese día no existe en el mes",DATE(VALUE(RIGHT(G191,4)),VALUE(LEFT(G191,2)),F191)),"")</f>
        <v/>
      </c>
    </row>
    <row r="192" ht="18" customHeight="1">
      <c r="A192" s="5" t="n"/>
      <c r="B192" s="5" t="n"/>
      <c r="C192" s="6">
        <f>IFERROR(INDEX(Productos!$B$2:$B$174,MATCH(B192,Productos!$A$2:$A$174,0)),"")</f>
        <v/>
      </c>
      <c r="D192" s="7">
        <f>IFERROR(INDEX(Productos!$C$2:$C$174,MATCH(B192,Productos!$A$2:$A$174,0)),"")</f>
        <v/>
      </c>
      <c r="E192" s="8" t="n"/>
      <c r="F192" s="8" t="n"/>
      <c r="G192" s="5" t="n"/>
      <c r="H192" s="9">
        <f>IF(AND(ISNUMBER(F192),G192&lt;&gt;""),IF(F192&gt;DAY(EOMONTH(DATE(VALUE(RIGHT(G192,4)),VALUE(LEFT(G192,2)),1),0)),"Ese día no existe en el mes",DATE(VALUE(RIGHT(G192,4)),VALUE(LEFT(G192,2)),F192)),"")</f>
        <v/>
      </c>
    </row>
    <row r="193" ht="18" customHeight="1">
      <c r="A193" s="5" t="n"/>
      <c r="B193" s="5" t="n"/>
      <c r="C193" s="6">
        <f>IFERROR(INDEX(Productos!$B$2:$B$174,MATCH(B193,Productos!$A$2:$A$174,0)),"")</f>
        <v/>
      </c>
      <c r="D193" s="7">
        <f>IFERROR(INDEX(Productos!$C$2:$C$174,MATCH(B193,Productos!$A$2:$A$174,0)),"")</f>
        <v/>
      </c>
      <c r="E193" s="8" t="n"/>
      <c r="F193" s="8" t="n"/>
      <c r="G193" s="5" t="n"/>
      <c r="H193" s="9">
        <f>IF(AND(ISNUMBER(F193),G193&lt;&gt;""),IF(F193&gt;DAY(EOMONTH(DATE(VALUE(RIGHT(G193,4)),VALUE(LEFT(G193,2)),1),0)),"Ese día no existe en el mes",DATE(VALUE(RIGHT(G193,4)),VALUE(LEFT(G193,2)),F193)),"")</f>
        <v/>
      </c>
    </row>
    <row r="194" ht="18" customHeight="1">
      <c r="A194" s="5" t="n"/>
      <c r="B194" s="5" t="n"/>
      <c r="C194" s="6">
        <f>IFERROR(INDEX(Productos!$B$2:$B$174,MATCH(B194,Productos!$A$2:$A$174,0)),"")</f>
        <v/>
      </c>
      <c r="D194" s="7">
        <f>IFERROR(INDEX(Productos!$C$2:$C$174,MATCH(B194,Productos!$A$2:$A$174,0)),"")</f>
        <v/>
      </c>
      <c r="E194" s="8" t="n"/>
      <c r="F194" s="8" t="n"/>
      <c r="G194" s="5" t="n"/>
      <c r="H194" s="9">
        <f>IF(AND(ISNUMBER(F194),G194&lt;&gt;""),IF(F194&gt;DAY(EOMONTH(DATE(VALUE(RIGHT(G194,4)),VALUE(LEFT(G194,2)),1),0)),"Ese día no existe en el mes",DATE(VALUE(RIGHT(G194,4)),VALUE(LEFT(G194,2)),F194)),"")</f>
        <v/>
      </c>
    </row>
    <row r="195" ht="18" customHeight="1">
      <c r="A195" s="5" t="n"/>
      <c r="B195" s="5" t="n"/>
      <c r="C195" s="6">
        <f>IFERROR(INDEX(Productos!$B$2:$B$174,MATCH(B195,Productos!$A$2:$A$174,0)),"")</f>
        <v/>
      </c>
      <c r="D195" s="7">
        <f>IFERROR(INDEX(Productos!$C$2:$C$174,MATCH(B195,Productos!$A$2:$A$174,0)),"")</f>
        <v/>
      </c>
      <c r="E195" s="8" t="n"/>
      <c r="F195" s="8" t="n"/>
      <c r="G195" s="5" t="n"/>
      <c r="H195" s="9">
        <f>IF(AND(ISNUMBER(F195),G195&lt;&gt;""),IF(F195&gt;DAY(EOMONTH(DATE(VALUE(RIGHT(G195,4)),VALUE(LEFT(G195,2)),1),0)),"Ese día no existe en el mes",DATE(VALUE(RIGHT(G195,4)),VALUE(LEFT(G195,2)),F195)),"")</f>
        <v/>
      </c>
    </row>
    <row r="196" ht="18" customHeight="1">
      <c r="A196" s="5" t="n"/>
      <c r="B196" s="5" t="n"/>
      <c r="C196" s="6">
        <f>IFERROR(INDEX(Productos!$B$2:$B$174,MATCH(B196,Productos!$A$2:$A$174,0)),"")</f>
        <v/>
      </c>
      <c r="D196" s="7">
        <f>IFERROR(INDEX(Productos!$C$2:$C$174,MATCH(B196,Productos!$A$2:$A$174,0)),"")</f>
        <v/>
      </c>
      <c r="E196" s="8" t="n"/>
      <c r="F196" s="8" t="n"/>
      <c r="G196" s="5" t="n"/>
      <c r="H196" s="9">
        <f>IF(AND(ISNUMBER(F196),G196&lt;&gt;""),IF(F196&gt;DAY(EOMONTH(DATE(VALUE(RIGHT(G196,4)),VALUE(LEFT(G196,2)),1),0)),"Ese día no existe en el mes",DATE(VALUE(RIGHT(G196,4)),VALUE(LEFT(G196,2)),F196)),"")</f>
        <v/>
      </c>
    </row>
    <row r="197" ht="18" customHeight="1">
      <c r="A197" s="5" t="n"/>
      <c r="B197" s="5" t="n"/>
      <c r="C197" s="6">
        <f>IFERROR(INDEX(Productos!$B$2:$B$174,MATCH(B197,Productos!$A$2:$A$174,0)),"")</f>
        <v/>
      </c>
      <c r="D197" s="7">
        <f>IFERROR(INDEX(Productos!$C$2:$C$174,MATCH(B197,Productos!$A$2:$A$174,0)),"")</f>
        <v/>
      </c>
      <c r="E197" s="8" t="n"/>
      <c r="F197" s="8" t="n"/>
      <c r="G197" s="5" t="n"/>
      <c r="H197" s="9">
        <f>IF(AND(ISNUMBER(F197),G197&lt;&gt;""),IF(F197&gt;DAY(EOMONTH(DATE(VALUE(RIGHT(G197,4)),VALUE(LEFT(G197,2)),1),0)),"Ese día no existe en el mes",DATE(VALUE(RIGHT(G197,4)),VALUE(LEFT(G197,2)),F197)),"")</f>
        <v/>
      </c>
    </row>
    <row r="198" ht="18" customHeight="1">
      <c r="A198" s="5" t="n"/>
      <c r="B198" s="5" t="n"/>
      <c r="C198" s="6">
        <f>IFERROR(INDEX(Productos!$B$2:$B$174,MATCH(B198,Productos!$A$2:$A$174,0)),"")</f>
        <v/>
      </c>
      <c r="D198" s="7">
        <f>IFERROR(INDEX(Productos!$C$2:$C$174,MATCH(B198,Productos!$A$2:$A$174,0)),"")</f>
        <v/>
      </c>
      <c r="E198" s="8" t="n"/>
      <c r="F198" s="8" t="n"/>
      <c r="G198" s="5" t="n"/>
      <c r="H198" s="9">
        <f>IF(AND(ISNUMBER(F198),G198&lt;&gt;""),IF(F198&gt;DAY(EOMONTH(DATE(VALUE(RIGHT(G198,4)),VALUE(LEFT(G198,2)),1),0)),"Ese día no existe en el mes",DATE(VALUE(RIGHT(G198,4)),VALUE(LEFT(G198,2)),F198)),"")</f>
        <v/>
      </c>
    </row>
    <row r="199" ht="18" customHeight="1">
      <c r="A199" s="5" t="n"/>
      <c r="B199" s="5" t="n"/>
      <c r="C199" s="6">
        <f>IFERROR(INDEX(Productos!$B$2:$B$174,MATCH(B199,Productos!$A$2:$A$174,0)),"")</f>
        <v/>
      </c>
      <c r="D199" s="7">
        <f>IFERROR(INDEX(Productos!$C$2:$C$174,MATCH(B199,Productos!$A$2:$A$174,0)),"")</f>
        <v/>
      </c>
      <c r="E199" s="8" t="n"/>
      <c r="F199" s="8" t="n"/>
      <c r="G199" s="5" t="n"/>
      <c r="H199" s="9">
        <f>IF(AND(ISNUMBER(F199),G199&lt;&gt;""),IF(F199&gt;DAY(EOMONTH(DATE(VALUE(RIGHT(G199,4)),VALUE(LEFT(G199,2)),1),0)),"Ese día no existe en el mes",DATE(VALUE(RIGHT(G199,4)),VALUE(LEFT(G199,2)),F199)),"")</f>
        <v/>
      </c>
    </row>
    <row r="200" ht="18" customHeight="1">
      <c r="A200" s="5" t="n"/>
      <c r="B200" s="5" t="n"/>
      <c r="C200" s="6">
        <f>IFERROR(INDEX(Productos!$B$2:$B$174,MATCH(B200,Productos!$A$2:$A$174,0)),"")</f>
        <v/>
      </c>
      <c r="D200" s="7">
        <f>IFERROR(INDEX(Productos!$C$2:$C$174,MATCH(B200,Productos!$A$2:$A$174,0)),"")</f>
        <v/>
      </c>
      <c r="E200" s="8" t="n"/>
      <c r="F200" s="8" t="n"/>
      <c r="G200" s="5" t="n"/>
      <c r="H200" s="9">
        <f>IF(AND(ISNUMBER(F200),G200&lt;&gt;""),IF(F200&gt;DAY(EOMONTH(DATE(VALUE(RIGHT(G200,4)),VALUE(LEFT(G200,2)),1),0)),"Ese día no existe en el mes",DATE(VALUE(RIGHT(G200,4)),VALUE(LEFT(G200,2)),F200)),"")</f>
        <v/>
      </c>
    </row>
    <row r="201" ht="18" customHeight="1">
      <c r="A201" s="5" t="n"/>
      <c r="B201" s="5" t="n"/>
      <c r="C201" s="6">
        <f>IFERROR(INDEX(Productos!$B$2:$B$174,MATCH(B201,Productos!$A$2:$A$174,0)),"")</f>
        <v/>
      </c>
      <c r="D201" s="7">
        <f>IFERROR(INDEX(Productos!$C$2:$C$174,MATCH(B201,Productos!$A$2:$A$174,0)),"")</f>
        <v/>
      </c>
      <c r="E201" s="8" t="n"/>
      <c r="F201" s="8" t="n"/>
      <c r="G201" s="5" t="n"/>
      <c r="H201" s="9">
        <f>IF(AND(ISNUMBER(F201),G201&lt;&gt;""),IF(F201&gt;DAY(EOMONTH(DATE(VALUE(RIGHT(G201,4)),VALUE(LEFT(G201,2)),1),0)),"Ese día no existe en el mes",DATE(VALUE(RIGHT(G201,4)),VALUE(LEFT(G201,2)),F201)),"")</f>
        <v/>
      </c>
    </row>
    <row r="202" ht="18" customHeight="1">
      <c r="A202" s="5" t="n"/>
      <c r="B202" s="5" t="n"/>
      <c r="C202" s="6">
        <f>IFERROR(INDEX(Productos!$B$2:$B$174,MATCH(B202,Productos!$A$2:$A$174,0)),"")</f>
        <v/>
      </c>
      <c r="D202" s="7">
        <f>IFERROR(INDEX(Productos!$C$2:$C$174,MATCH(B202,Productos!$A$2:$A$174,0)),"")</f>
        <v/>
      </c>
      <c r="E202" s="8" t="n"/>
      <c r="F202" s="8" t="n"/>
      <c r="G202" s="5" t="n"/>
      <c r="H202" s="9">
        <f>IF(AND(ISNUMBER(F202),G202&lt;&gt;""),IF(F202&gt;DAY(EOMONTH(DATE(VALUE(RIGHT(G202,4)),VALUE(LEFT(G202,2)),1),0)),"Ese día no existe en el mes",DATE(VALUE(RIGHT(G202,4)),VALUE(LEFT(G202,2)),F202)),"")</f>
        <v/>
      </c>
    </row>
    <row r="203" ht="18" customHeight="1">
      <c r="A203" s="5" t="n"/>
      <c r="B203" s="5" t="n"/>
      <c r="C203" s="6">
        <f>IFERROR(INDEX(Productos!$B$2:$B$174,MATCH(B203,Productos!$A$2:$A$174,0)),"")</f>
        <v/>
      </c>
      <c r="D203" s="7">
        <f>IFERROR(INDEX(Productos!$C$2:$C$174,MATCH(B203,Productos!$A$2:$A$174,0)),"")</f>
        <v/>
      </c>
      <c r="E203" s="8" t="n"/>
      <c r="F203" s="8" t="n"/>
      <c r="G203" s="5" t="n"/>
      <c r="H203" s="9">
        <f>IF(AND(ISNUMBER(F203),G203&lt;&gt;""),IF(F203&gt;DAY(EOMONTH(DATE(VALUE(RIGHT(G203,4)),VALUE(LEFT(G203,2)),1),0)),"Ese día no existe en el mes",DATE(VALUE(RIGHT(G203,4)),VALUE(LEFT(G203,2)),F203)),"")</f>
        <v/>
      </c>
    </row>
    <row r="204" ht="18" customHeight="1">
      <c r="A204" s="5" t="n"/>
      <c r="B204" s="5" t="n"/>
      <c r="C204" s="6">
        <f>IFERROR(INDEX(Productos!$B$2:$B$174,MATCH(B204,Productos!$A$2:$A$174,0)),"")</f>
        <v/>
      </c>
      <c r="D204" s="7">
        <f>IFERROR(INDEX(Productos!$C$2:$C$174,MATCH(B204,Productos!$A$2:$A$174,0)),"")</f>
        <v/>
      </c>
      <c r="E204" s="8" t="n"/>
      <c r="F204" s="8" t="n"/>
      <c r="G204" s="5" t="n"/>
      <c r="H204" s="9">
        <f>IF(AND(ISNUMBER(F204),G204&lt;&gt;""),IF(F204&gt;DAY(EOMONTH(DATE(VALUE(RIGHT(G204,4)),VALUE(LEFT(G204,2)),1),0)),"Ese día no existe en el mes",DATE(VALUE(RIGHT(G204,4)),VALUE(LEFT(G204,2)),F204)),"")</f>
        <v/>
      </c>
    </row>
    <row r="205" ht="18" customHeight="1">
      <c r="A205" s="5" t="n"/>
      <c r="B205" s="5" t="n"/>
      <c r="C205" s="6">
        <f>IFERROR(INDEX(Productos!$B$2:$B$174,MATCH(B205,Productos!$A$2:$A$174,0)),"")</f>
        <v/>
      </c>
      <c r="D205" s="7">
        <f>IFERROR(INDEX(Productos!$C$2:$C$174,MATCH(B205,Productos!$A$2:$A$174,0)),"")</f>
        <v/>
      </c>
      <c r="E205" s="8" t="n"/>
      <c r="F205" s="8" t="n"/>
      <c r="G205" s="5" t="n"/>
      <c r="H205" s="9">
        <f>IF(AND(ISNUMBER(F205),G205&lt;&gt;""),IF(F205&gt;DAY(EOMONTH(DATE(VALUE(RIGHT(G205,4)),VALUE(LEFT(G205,2)),1),0)),"Ese día no existe en el mes",DATE(VALUE(RIGHT(G205,4)),VALUE(LEFT(G205,2)),F205)),"")</f>
        <v/>
      </c>
    </row>
    <row r="206" ht="18" customHeight="1">
      <c r="A206" s="5" t="n"/>
      <c r="B206" s="5" t="n"/>
      <c r="C206" s="6">
        <f>IFERROR(INDEX(Productos!$B$2:$B$174,MATCH(B206,Productos!$A$2:$A$174,0)),"")</f>
        <v/>
      </c>
      <c r="D206" s="7">
        <f>IFERROR(INDEX(Productos!$C$2:$C$174,MATCH(B206,Productos!$A$2:$A$174,0)),"")</f>
        <v/>
      </c>
      <c r="E206" s="8" t="n"/>
      <c r="F206" s="8" t="n"/>
      <c r="G206" s="5" t="n"/>
      <c r="H206" s="9">
        <f>IF(AND(ISNUMBER(F206),G206&lt;&gt;""),IF(F206&gt;DAY(EOMONTH(DATE(VALUE(RIGHT(G206,4)),VALUE(LEFT(G206,2)),1),0)),"Ese día no existe en el mes",DATE(VALUE(RIGHT(G206,4)),VALUE(LEFT(G206,2)),F206)),"")</f>
        <v/>
      </c>
    </row>
    <row r="207" ht="18" customHeight="1">
      <c r="A207" s="5" t="n"/>
      <c r="B207" s="5" t="n"/>
      <c r="C207" s="6">
        <f>IFERROR(INDEX(Productos!$B$2:$B$174,MATCH(B207,Productos!$A$2:$A$174,0)),"")</f>
        <v/>
      </c>
      <c r="D207" s="7">
        <f>IFERROR(INDEX(Productos!$C$2:$C$174,MATCH(B207,Productos!$A$2:$A$174,0)),"")</f>
        <v/>
      </c>
      <c r="E207" s="8" t="n"/>
      <c r="F207" s="8" t="n"/>
      <c r="G207" s="5" t="n"/>
      <c r="H207" s="9">
        <f>IF(AND(ISNUMBER(F207),G207&lt;&gt;""),IF(F207&gt;DAY(EOMONTH(DATE(VALUE(RIGHT(G207,4)),VALUE(LEFT(G207,2)),1),0)),"Ese día no existe en el mes",DATE(VALUE(RIGHT(G207,4)),VALUE(LEFT(G207,2)),F207)),"")</f>
        <v/>
      </c>
    </row>
    <row r="208" ht="18" customHeight="1">
      <c r="A208" s="5" t="n"/>
      <c r="B208" s="5" t="n"/>
      <c r="C208" s="6">
        <f>IFERROR(INDEX(Productos!$B$2:$B$174,MATCH(B208,Productos!$A$2:$A$174,0)),"")</f>
        <v/>
      </c>
      <c r="D208" s="7">
        <f>IFERROR(INDEX(Productos!$C$2:$C$174,MATCH(B208,Productos!$A$2:$A$174,0)),"")</f>
        <v/>
      </c>
      <c r="E208" s="8" t="n"/>
      <c r="F208" s="8" t="n"/>
      <c r="G208" s="5" t="n"/>
      <c r="H208" s="9">
        <f>IF(AND(ISNUMBER(F208),G208&lt;&gt;""),IF(F208&gt;DAY(EOMONTH(DATE(VALUE(RIGHT(G208,4)),VALUE(LEFT(G208,2)),1),0)),"Ese día no existe en el mes",DATE(VALUE(RIGHT(G208,4)),VALUE(LEFT(G208,2)),F208)),"")</f>
        <v/>
      </c>
    </row>
    <row r="209" ht="18" customHeight="1">
      <c r="A209" s="5" t="n"/>
      <c r="B209" s="5" t="n"/>
      <c r="C209" s="6">
        <f>IFERROR(INDEX(Productos!$B$2:$B$174,MATCH(B209,Productos!$A$2:$A$174,0)),"")</f>
        <v/>
      </c>
      <c r="D209" s="7">
        <f>IFERROR(INDEX(Productos!$C$2:$C$174,MATCH(B209,Productos!$A$2:$A$174,0)),"")</f>
        <v/>
      </c>
      <c r="E209" s="8" t="n"/>
      <c r="F209" s="8" t="n"/>
      <c r="G209" s="5" t="n"/>
      <c r="H209" s="9">
        <f>IF(AND(ISNUMBER(F209),G209&lt;&gt;""),IF(F209&gt;DAY(EOMONTH(DATE(VALUE(RIGHT(G209,4)),VALUE(LEFT(G209,2)),1),0)),"Ese día no existe en el mes",DATE(VALUE(RIGHT(G209,4)),VALUE(LEFT(G209,2)),F209)),"")</f>
        <v/>
      </c>
    </row>
    <row r="210" ht="18" customHeight="1">
      <c r="A210" s="5" t="n"/>
      <c r="B210" s="5" t="n"/>
      <c r="C210" s="6">
        <f>IFERROR(INDEX(Productos!$B$2:$B$174,MATCH(B210,Productos!$A$2:$A$174,0)),"")</f>
        <v/>
      </c>
      <c r="D210" s="7">
        <f>IFERROR(INDEX(Productos!$C$2:$C$174,MATCH(B210,Productos!$A$2:$A$174,0)),"")</f>
        <v/>
      </c>
      <c r="E210" s="8" t="n"/>
      <c r="F210" s="8" t="n"/>
      <c r="G210" s="5" t="n"/>
      <c r="H210" s="9">
        <f>IF(AND(ISNUMBER(F210),G210&lt;&gt;""),IF(F210&gt;DAY(EOMONTH(DATE(VALUE(RIGHT(G210,4)),VALUE(LEFT(G210,2)),1),0)),"Ese día no existe en el mes",DATE(VALUE(RIGHT(G210,4)),VALUE(LEFT(G210,2)),F210)),"")</f>
        <v/>
      </c>
    </row>
    <row r="211" ht="18" customHeight="1">
      <c r="A211" s="5" t="n"/>
      <c r="B211" s="5" t="n"/>
      <c r="C211" s="6">
        <f>IFERROR(INDEX(Productos!$B$2:$B$174,MATCH(B211,Productos!$A$2:$A$174,0)),"")</f>
        <v/>
      </c>
      <c r="D211" s="7">
        <f>IFERROR(INDEX(Productos!$C$2:$C$174,MATCH(B211,Productos!$A$2:$A$174,0)),"")</f>
        <v/>
      </c>
      <c r="E211" s="8" t="n"/>
      <c r="F211" s="8" t="n"/>
      <c r="G211" s="5" t="n"/>
      <c r="H211" s="9">
        <f>IF(AND(ISNUMBER(F211),G211&lt;&gt;""),IF(F211&gt;DAY(EOMONTH(DATE(VALUE(RIGHT(G211,4)),VALUE(LEFT(G211,2)),1),0)),"Ese día no existe en el mes",DATE(VALUE(RIGHT(G211,4)),VALUE(LEFT(G211,2)),F211)),"")</f>
        <v/>
      </c>
    </row>
    <row r="212" ht="18" customHeight="1">
      <c r="A212" s="5" t="n"/>
      <c r="B212" s="5" t="n"/>
      <c r="C212" s="6">
        <f>IFERROR(INDEX(Productos!$B$2:$B$174,MATCH(B212,Productos!$A$2:$A$174,0)),"")</f>
        <v/>
      </c>
      <c r="D212" s="7">
        <f>IFERROR(INDEX(Productos!$C$2:$C$174,MATCH(B212,Productos!$A$2:$A$174,0)),"")</f>
        <v/>
      </c>
      <c r="E212" s="8" t="n"/>
      <c r="F212" s="8" t="n"/>
      <c r="G212" s="5" t="n"/>
      <c r="H212" s="9">
        <f>IF(AND(ISNUMBER(F212),G212&lt;&gt;""),IF(F212&gt;DAY(EOMONTH(DATE(VALUE(RIGHT(G212,4)),VALUE(LEFT(G212,2)),1),0)),"Ese día no existe en el mes",DATE(VALUE(RIGHT(G212,4)),VALUE(LEFT(G212,2)),F212)),"")</f>
        <v/>
      </c>
    </row>
    <row r="213" ht="18" customHeight="1">
      <c r="A213" s="5" t="n"/>
      <c r="B213" s="5" t="n"/>
      <c r="C213" s="6">
        <f>IFERROR(INDEX(Productos!$B$2:$B$174,MATCH(B213,Productos!$A$2:$A$174,0)),"")</f>
        <v/>
      </c>
      <c r="D213" s="7">
        <f>IFERROR(INDEX(Productos!$C$2:$C$174,MATCH(B213,Productos!$A$2:$A$174,0)),"")</f>
        <v/>
      </c>
      <c r="E213" s="8" t="n"/>
      <c r="F213" s="8" t="n"/>
      <c r="G213" s="5" t="n"/>
      <c r="H213" s="9">
        <f>IF(AND(ISNUMBER(F213),G213&lt;&gt;""),IF(F213&gt;DAY(EOMONTH(DATE(VALUE(RIGHT(G213,4)),VALUE(LEFT(G213,2)),1),0)),"Ese día no existe en el mes",DATE(VALUE(RIGHT(G213,4)),VALUE(LEFT(G213,2)),F213)),"")</f>
        <v/>
      </c>
    </row>
    <row r="214" ht="18" customHeight="1">
      <c r="A214" s="5" t="n"/>
      <c r="B214" s="5" t="n"/>
      <c r="C214" s="6">
        <f>IFERROR(INDEX(Productos!$B$2:$B$174,MATCH(B214,Productos!$A$2:$A$174,0)),"")</f>
        <v/>
      </c>
      <c r="D214" s="7">
        <f>IFERROR(INDEX(Productos!$C$2:$C$174,MATCH(B214,Productos!$A$2:$A$174,0)),"")</f>
        <v/>
      </c>
      <c r="E214" s="8" t="n"/>
      <c r="F214" s="8" t="n"/>
      <c r="G214" s="5" t="n"/>
      <c r="H214" s="9">
        <f>IF(AND(ISNUMBER(F214),G214&lt;&gt;""),IF(F214&gt;DAY(EOMONTH(DATE(VALUE(RIGHT(G214,4)),VALUE(LEFT(G214,2)),1),0)),"Ese día no existe en el mes",DATE(VALUE(RIGHT(G214,4)),VALUE(LEFT(G214,2)),F214)),"")</f>
        <v/>
      </c>
    </row>
    <row r="215" ht="18" customHeight="1">
      <c r="A215" s="5" t="n"/>
      <c r="B215" s="5" t="n"/>
      <c r="C215" s="6">
        <f>IFERROR(INDEX(Productos!$B$2:$B$174,MATCH(B215,Productos!$A$2:$A$174,0)),"")</f>
        <v/>
      </c>
      <c r="D215" s="7">
        <f>IFERROR(INDEX(Productos!$C$2:$C$174,MATCH(B215,Productos!$A$2:$A$174,0)),"")</f>
        <v/>
      </c>
      <c r="E215" s="8" t="n"/>
      <c r="F215" s="8" t="n"/>
      <c r="G215" s="5" t="n"/>
      <c r="H215" s="9">
        <f>IF(AND(ISNUMBER(F215),G215&lt;&gt;""),IF(F215&gt;DAY(EOMONTH(DATE(VALUE(RIGHT(G215,4)),VALUE(LEFT(G215,2)),1),0)),"Ese día no existe en el mes",DATE(VALUE(RIGHT(G215,4)),VALUE(LEFT(G215,2)),F215)),"")</f>
        <v/>
      </c>
    </row>
    <row r="216" ht="18" customHeight="1">
      <c r="A216" s="5" t="n"/>
      <c r="B216" s="5" t="n"/>
      <c r="C216" s="6">
        <f>IFERROR(INDEX(Productos!$B$2:$B$174,MATCH(B216,Productos!$A$2:$A$174,0)),"")</f>
        <v/>
      </c>
      <c r="D216" s="7">
        <f>IFERROR(INDEX(Productos!$C$2:$C$174,MATCH(B216,Productos!$A$2:$A$174,0)),"")</f>
        <v/>
      </c>
      <c r="E216" s="8" t="n"/>
      <c r="F216" s="8" t="n"/>
      <c r="G216" s="5" t="n"/>
      <c r="H216" s="9">
        <f>IF(AND(ISNUMBER(F216),G216&lt;&gt;""),IF(F216&gt;DAY(EOMONTH(DATE(VALUE(RIGHT(G216,4)),VALUE(LEFT(G216,2)),1),0)),"Ese día no existe en el mes",DATE(VALUE(RIGHT(G216,4)),VALUE(LEFT(G216,2)),F216)),"")</f>
        <v/>
      </c>
    </row>
    <row r="217" ht="18" customHeight="1">
      <c r="A217" s="5" t="n"/>
      <c r="B217" s="5" t="n"/>
      <c r="C217" s="6">
        <f>IFERROR(INDEX(Productos!$B$2:$B$174,MATCH(B217,Productos!$A$2:$A$174,0)),"")</f>
        <v/>
      </c>
      <c r="D217" s="7">
        <f>IFERROR(INDEX(Productos!$C$2:$C$174,MATCH(B217,Productos!$A$2:$A$174,0)),"")</f>
        <v/>
      </c>
      <c r="E217" s="8" t="n"/>
      <c r="F217" s="8" t="n"/>
      <c r="G217" s="5" t="n"/>
      <c r="H217" s="9">
        <f>IF(AND(ISNUMBER(F217),G217&lt;&gt;""),IF(F217&gt;DAY(EOMONTH(DATE(VALUE(RIGHT(G217,4)),VALUE(LEFT(G217,2)),1),0)),"Ese día no existe en el mes",DATE(VALUE(RIGHT(G217,4)),VALUE(LEFT(G217,2)),F217)),"")</f>
        <v/>
      </c>
    </row>
    <row r="218" ht="18" customHeight="1">
      <c r="A218" s="5" t="n"/>
      <c r="B218" s="5" t="n"/>
      <c r="C218" s="6">
        <f>IFERROR(INDEX(Productos!$B$2:$B$174,MATCH(B218,Productos!$A$2:$A$174,0)),"")</f>
        <v/>
      </c>
      <c r="D218" s="7">
        <f>IFERROR(INDEX(Productos!$C$2:$C$174,MATCH(B218,Productos!$A$2:$A$174,0)),"")</f>
        <v/>
      </c>
      <c r="E218" s="8" t="n"/>
      <c r="F218" s="8" t="n"/>
      <c r="G218" s="5" t="n"/>
      <c r="H218" s="9">
        <f>IF(AND(ISNUMBER(F218),G218&lt;&gt;""),IF(F218&gt;DAY(EOMONTH(DATE(VALUE(RIGHT(G218,4)),VALUE(LEFT(G218,2)),1),0)),"Ese día no existe en el mes",DATE(VALUE(RIGHT(G218,4)),VALUE(LEFT(G218,2)),F218)),"")</f>
        <v/>
      </c>
    </row>
    <row r="219" ht="18" customHeight="1">
      <c r="A219" s="5" t="n"/>
      <c r="B219" s="5" t="n"/>
      <c r="C219" s="6">
        <f>IFERROR(INDEX(Productos!$B$2:$B$174,MATCH(B219,Productos!$A$2:$A$174,0)),"")</f>
        <v/>
      </c>
      <c r="D219" s="7">
        <f>IFERROR(INDEX(Productos!$C$2:$C$174,MATCH(B219,Productos!$A$2:$A$174,0)),"")</f>
        <v/>
      </c>
      <c r="E219" s="8" t="n"/>
      <c r="F219" s="8" t="n"/>
      <c r="G219" s="5" t="n"/>
      <c r="H219" s="9">
        <f>IF(AND(ISNUMBER(F219),G219&lt;&gt;""),IF(F219&gt;DAY(EOMONTH(DATE(VALUE(RIGHT(G219,4)),VALUE(LEFT(G219,2)),1),0)),"Ese día no existe en el mes",DATE(VALUE(RIGHT(G219,4)),VALUE(LEFT(G219,2)),F219)),"")</f>
        <v/>
      </c>
    </row>
    <row r="220" ht="18" customHeight="1">
      <c r="A220" s="5" t="n"/>
      <c r="B220" s="5" t="n"/>
      <c r="C220" s="6">
        <f>IFERROR(INDEX(Productos!$B$2:$B$174,MATCH(B220,Productos!$A$2:$A$174,0)),"")</f>
        <v/>
      </c>
      <c r="D220" s="7">
        <f>IFERROR(INDEX(Productos!$C$2:$C$174,MATCH(B220,Productos!$A$2:$A$174,0)),"")</f>
        <v/>
      </c>
      <c r="E220" s="8" t="n"/>
      <c r="F220" s="8" t="n"/>
      <c r="G220" s="5" t="n"/>
      <c r="H220" s="9">
        <f>IF(AND(ISNUMBER(F220),G220&lt;&gt;""),IF(F220&gt;DAY(EOMONTH(DATE(VALUE(RIGHT(G220,4)),VALUE(LEFT(G220,2)),1),0)),"Ese día no existe en el mes",DATE(VALUE(RIGHT(G220,4)),VALUE(LEFT(G220,2)),F220)),"")</f>
        <v/>
      </c>
    </row>
    <row r="221" ht="18" customHeight="1">
      <c r="A221" s="5" t="n"/>
      <c r="B221" s="5" t="n"/>
      <c r="C221" s="6">
        <f>IFERROR(INDEX(Productos!$B$2:$B$174,MATCH(B221,Productos!$A$2:$A$174,0)),"")</f>
        <v/>
      </c>
      <c r="D221" s="7">
        <f>IFERROR(INDEX(Productos!$C$2:$C$174,MATCH(B221,Productos!$A$2:$A$174,0)),"")</f>
        <v/>
      </c>
      <c r="E221" s="8" t="n"/>
      <c r="F221" s="8" t="n"/>
      <c r="G221" s="5" t="n"/>
      <c r="H221" s="9">
        <f>IF(AND(ISNUMBER(F221),G221&lt;&gt;""),IF(F221&gt;DAY(EOMONTH(DATE(VALUE(RIGHT(G221,4)),VALUE(LEFT(G221,2)),1),0)),"Ese día no existe en el mes",DATE(VALUE(RIGHT(G221,4)),VALUE(LEFT(G221,2)),F221)),"")</f>
        <v/>
      </c>
    </row>
    <row r="222" ht="18" customHeight="1">
      <c r="A222" s="5" t="n"/>
      <c r="B222" s="5" t="n"/>
      <c r="C222" s="6">
        <f>IFERROR(INDEX(Productos!$B$2:$B$174,MATCH(B222,Productos!$A$2:$A$174,0)),"")</f>
        <v/>
      </c>
      <c r="D222" s="7">
        <f>IFERROR(INDEX(Productos!$C$2:$C$174,MATCH(B222,Productos!$A$2:$A$174,0)),"")</f>
        <v/>
      </c>
      <c r="E222" s="8" t="n"/>
      <c r="F222" s="8" t="n"/>
      <c r="G222" s="5" t="n"/>
      <c r="H222" s="9">
        <f>IF(AND(ISNUMBER(F222),G222&lt;&gt;""),IF(F222&gt;DAY(EOMONTH(DATE(VALUE(RIGHT(G222,4)),VALUE(LEFT(G222,2)),1),0)),"Ese día no existe en el mes",DATE(VALUE(RIGHT(G222,4)),VALUE(LEFT(G222,2)),F222)),"")</f>
        <v/>
      </c>
    </row>
    <row r="223" ht="18" customHeight="1">
      <c r="A223" s="5" t="n"/>
      <c r="B223" s="5" t="n"/>
      <c r="C223" s="6">
        <f>IFERROR(INDEX(Productos!$B$2:$B$174,MATCH(B223,Productos!$A$2:$A$174,0)),"")</f>
        <v/>
      </c>
      <c r="D223" s="7">
        <f>IFERROR(INDEX(Productos!$C$2:$C$174,MATCH(B223,Productos!$A$2:$A$174,0)),"")</f>
        <v/>
      </c>
      <c r="E223" s="8" t="n"/>
      <c r="F223" s="8" t="n"/>
      <c r="G223" s="5" t="n"/>
      <c r="H223" s="9">
        <f>IF(AND(ISNUMBER(F223),G223&lt;&gt;""),IF(F223&gt;DAY(EOMONTH(DATE(VALUE(RIGHT(G223,4)),VALUE(LEFT(G223,2)),1),0)),"Ese día no existe en el mes",DATE(VALUE(RIGHT(G223,4)),VALUE(LEFT(G223,2)),F223)),"")</f>
        <v/>
      </c>
    </row>
    <row r="224" ht="18" customHeight="1">
      <c r="A224" s="5" t="n"/>
      <c r="B224" s="5" t="n"/>
      <c r="C224" s="6">
        <f>IFERROR(INDEX(Productos!$B$2:$B$174,MATCH(B224,Productos!$A$2:$A$174,0)),"")</f>
        <v/>
      </c>
      <c r="D224" s="7">
        <f>IFERROR(INDEX(Productos!$C$2:$C$174,MATCH(B224,Productos!$A$2:$A$174,0)),"")</f>
        <v/>
      </c>
      <c r="E224" s="8" t="n"/>
      <c r="F224" s="8" t="n"/>
      <c r="G224" s="5" t="n"/>
      <c r="H224" s="9">
        <f>IF(AND(ISNUMBER(F224),G224&lt;&gt;""),IF(F224&gt;DAY(EOMONTH(DATE(VALUE(RIGHT(G224,4)),VALUE(LEFT(G224,2)),1),0)),"Ese día no existe en el mes",DATE(VALUE(RIGHT(G224,4)),VALUE(LEFT(G224,2)),F224)),"")</f>
        <v/>
      </c>
    </row>
    <row r="225" ht="18" customHeight="1">
      <c r="A225" s="5" t="n"/>
      <c r="B225" s="5" t="n"/>
      <c r="C225" s="6">
        <f>IFERROR(INDEX(Productos!$B$2:$B$174,MATCH(B225,Productos!$A$2:$A$174,0)),"")</f>
        <v/>
      </c>
      <c r="D225" s="7">
        <f>IFERROR(INDEX(Productos!$C$2:$C$174,MATCH(B225,Productos!$A$2:$A$174,0)),"")</f>
        <v/>
      </c>
      <c r="E225" s="8" t="n"/>
      <c r="F225" s="8" t="n"/>
      <c r="G225" s="5" t="n"/>
      <c r="H225" s="9">
        <f>IF(AND(ISNUMBER(F225),G225&lt;&gt;""),IF(F225&gt;DAY(EOMONTH(DATE(VALUE(RIGHT(G225,4)),VALUE(LEFT(G225,2)),1),0)),"Ese día no existe en el mes",DATE(VALUE(RIGHT(G225,4)),VALUE(LEFT(G225,2)),F225)),"")</f>
        <v/>
      </c>
    </row>
    <row r="226" ht="18" customHeight="1">
      <c r="A226" s="5" t="n"/>
      <c r="B226" s="5" t="n"/>
      <c r="C226" s="6">
        <f>IFERROR(INDEX(Productos!$B$2:$B$174,MATCH(B226,Productos!$A$2:$A$174,0)),"")</f>
        <v/>
      </c>
      <c r="D226" s="7">
        <f>IFERROR(INDEX(Productos!$C$2:$C$174,MATCH(B226,Productos!$A$2:$A$174,0)),"")</f>
        <v/>
      </c>
      <c r="E226" s="8" t="n"/>
      <c r="F226" s="8" t="n"/>
      <c r="G226" s="5" t="n"/>
      <c r="H226" s="9">
        <f>IF(AND(ISNUMBER(F226),G226&lt;&gt;""),IF(F226&gt;DAY(EOMONTH(DATE(VALUE(RIGHT(G226,4)),VALUE(LEFT(G226,2)),1),0)),"Ese día no existe en el mes",DATE(VALUE(RIGHT(G226,4)),VALUE(LEFT(G226,2)),F226)),"")</f>
        <v/>
      </c>
    </row>
    <row r="227" ht="18" customHeight="1">
      <c r="A227" s="5" t="n"/>
      <c r="B227" s="5" t="n"/>
      <c r="C227" s="6">
        <f>IFERROR(INDEX(Productos!$B$2:$B$174,MATCH(B227,Productos!$A$2:$A$174,0)),"")</f>
        <v/>
      </c>
      <c r="D227" s="7">
        <f>IFERROR(INDEX(Productos!$C$2:$C$174,MATCH(B227,Productos!$A$2:$A$174,0)),"")</f>
        <v/>
      </c>
      <c r="E227" s="8" t="n"/>
      <c r="F227" s="8" t="n"/>
      <c r="G227" s="5" t="n"/>
      <c r="H227" s="9">
        <f>IF(AND(ISNUMBER(F227),G227&lt;&gt;""),IF(F227&gt;DAY(EOMONTH(DATE(VALUE(RIGHT(G227,4)),VALUE(LEFT(G227,2)),1),0)),"Ese día no existe en el mes",DATE(VALUE(RIGHT(G227,4)),VALUE(LEFT(G227,2)),F227)),"")</f>
        <v/>
      </c>
    </row>
    <row r="228" ht="18" customHeight="1">
      <c r="A228" s="5" t="n"/>
      <c r="B228" s="5" t="n"/>
      <c r="C228" s="6">
        <f>IFERROR(INDEX(Productos!$B$2:$B$174,MATCH(B228,Productos!$A$2:$A$174,0)),"")</f>
        <v/>
      </c>
      <c r="D228" s="7">
        <f>IFERROR(INDEX(Productos!$C$2:$C$174,MATCH(B228,Productos!$A$2:$A$174,0)),"")</f>
        <v/>
      </c>
      <c r="E228" s="8" t="n"/>
      <c r="F228" s="8" t="n"/>
      <c r="G228" s="5" t="n"/>
      <c r="H228" s="9">
        <f>IF(AND(ISNUMBER(F228),G228&lt;&gt;""),IF(F228&gt;DAY(EOMONTH(DATE(VALUE(RIGHT(G228,4)),VALUE(LEFT(G228,2)),1),0)),"Ese día no existe en el mes",DATE(VALUE(RIGHT(G228,4)),VALUE(LEFT(G228,2)),F228)),"")</f>
        <v/>
      </c>
    </row>
    <row r="229" ht="18" customHeight="1">
      <c r="A229" s="5" t="n"/>
      <c r="B229" s="5" t="n"/>
      <c r="C229" s="6">
        <f>IFERROR(INDEX(Productos!$B$2:$B$174,MATCH(B229,Productos!$A$2:$A$174,0)),"")</f>
        <v/>
      </c>
      <c r="D229" s="7">
        <f>IFERROR(INDEX(Productos!$C$2:$C$174,MATCH(B229,Productos!$A$2:$A$174,0)),"")</f>
        <v/>
      </c>
      <c r="E229" s="8" t="n"/>
      <c r="F229" s="8" t="n"/>
      <c r="G229" s="5" t="n"/>
      <c r="H229" s="9">
        <f>IF(AND(ISNUMBER(F229),G229&lt;&gt;""),IF(F229&gt;DAY(EOMONTH(DATE(VALUE(RIGHT(G229,4)),VALUE(LEFT(G229,2)),1),0)),"Ese día no existe en el mes",DATE(VALUE(RIGHT(G229,4)),VALUE(LEFT(G229,2)),F229)),"")</f>
        <v/>
      </c>
    </row>
    <row r="230" ht="18" customHeight="1">
      <c r="A230" s="5" t="n"/>
      <c r="B230" s="5" t="n"/>
      <c r="C230" s="6">
        <f>IFERROR(INDEX(Productos!$B$2:$B$174,MATCH(B230,Productos!$A$2:$A$174,0)),"")</f>
        <v/>
      </c>
      <c r="D230" s="7">
        <f>IFERROR(INDEX(Productos!$C$2:$C$174,MATCH(B230,Productos!$A$2:$A$174,0)),"")</f>
        <v/>
      </c>
      <c r="E230" s="8" t="n"/>
      <c r="F230" s="8" t="n"/>
      <c r="G230" s="5" t="n"/>
      <c r="H230" s="9">
        <f>IF(AND(ISNUMBER(F230),G230&lt;&gt;""),IF(F230&gt;DAY(EOMONTH(DATE(VALUE(RIGHT(G230,4)),VALUE(LEFT(G230,2)),1),0)),"Ese día no existe en el mes",DATE(VALUE(RIGHT(G230,4)),VALUE(LEFT(G230,2)),F230)),"")</f>
        <v/>
      </c>
    </row>
    <row r="231" ht="18" customHeight="1">
      <c r="A231" s="5" t="n"/>
      <c r="B231" s="5" t="n"/>
      <c r="C231" s="6">
        <f>IFERROR(INDEX(Productos!$B$2:$B$174,MATCH(B231,Productos!$A$2:$A$174,0)),"")</f>
        <v/>
      </c>
      <c r="D231" s="7">
        <f>IFERROR(INDEX(Productos!$C$2:$C$174,MATCH(B231,Productos!$A$2:$A$174,0)),"")</f>
        <v/>
      </c>
      <c r="E231" s="8" t="n"/>
      <c r="F231" s="8" t="n"/>
      <c r="G231" s="5" t="n"/>
      <c r="H231" s="9">
        <f>IF(AND(ISNUMBER(F231),G231&lt;&gt;""),IF(F231&gt;DAY(EOMONTH(DATE(VALUE(RIGHT(G231,4)),VALUE(LEFT(G231,2)),1),0)),"Ese día no existe en el mes",DATE(VALUE(RIGHT(G231,4)),VALUE(LEFT(G231,2)),F231)),"")</f>
        <v/>
      </c>
    </row>
    <row r="232" ht="18" customHeight="1">
      <c r="A232" s="5" t="n"/>
      <c r="B232" s="5" t="n"/>
      <c r="C232" s="6">
        <f>IFERROR(INDEX(Productos!$B$2:$B$174,MATCH(B232,Productos!$A$2:$A$174,0)),"")</f>
        <v/>
      </c>
      <c r="D232" s="7">
        <f>IFERROR(INDEX(Productos!$C$2:$C$174,MATCH(B232,Productos!$A$2:$A$174,0)),"")</f>
        <v/>
      </c>
      <c r="E232" s="8" t="n"/>
      <c r="F232" s="8" t="n"/>
      <c r="G232" s="5" t="n"/>
      <c r="H232" s="9">
        <f>IF(AND(ISNUMBER(F232),G232&lt;&gt;""),IF(F232&gt;DAY(EOMONTH(DATE(VALUE(RIGHT(G232,4)),VALUE(LEFT(G232,2)),1),0)),"Ese día no existe en el mes",DATE(VALUE(RIGHT(G232,4)),VALUE(LEFT(G232,2)),F232)),"")</f>
        <v/>
      </c>
    </row>
    <row r="233" ht="18" customHeight="1">
      <c r="A233" s="5" t="n"/>
      <c r="B233" s="5" t="n"/>
      <c r="C233" s="6">
        <f>IFERROR(INDEX(Productos!$B$2:$B$174,MATCH(B233,Productos!$A$2:$A$174,0)),"")</f>
        <v/>
      </c>
      <c r="D233" s="7">
        <f>IFERROR(INDEX(Productos!$C$2:$C$174,MATCH(B233,Productos!$A$2:$A$174,0)),"")</f>
        <v/>
      </c>
      <c r="E233" s="8" t="n"/>
      <c r="F233" s="8" t="n"/>
      <c r="G233" s="5" t="n"/>
      <c r="H233" s="9">
        <f>IF(AND(ISNUMBER(F233),G233&lt;&gt;""),IF(F233&gt;DAY(EOMONTH(DATE(VALUE(RIGHT(G233,4)),VALUE(LEFT(G233,2)),1),0)),"Ese día no existe en el mes",DATE(VALUE(RIGHT(G233,4)),VALUE(LEFT(G233,2)),F233)),"")</f>
        <v/>
      </c>
    </row>
    <row r="234" ht="18" customHeight="1">
      <c r="A234" s="5" t="n"/>
      <c r="B234" s="5" t="n"/>
      <c r="C234" s="6">
        <f>IFERROR(INDEX(Productos!$B$2:$B$174,MATCH(B234,Productos!$A$2:$A$174,0)),"")</f>
        <v/>
      </c>
      <c r="D234" s="7">
        <f>IFERROR(INDEX(Productos!$C$2:$C$174,MATCH(B234,Productos!$A$2:$A$174,0)),"")</f>
        <v/>
      </c>
      <c r="E234" s="8" t="n"/>
      <c r="F234" s="8" t="n"/>
      <c r="G234" s="5" t="n"/>
      <c r="H234" s="9">
        <f>IF(AND(ISNUMBER(F234),G234&lt;&gt;""),IF(F234&gt;DAY(EOMONTH(DATE(VALUE(RIGHT(G234,4)),VALUE(LEFT(G234,2)),1),0)),"Ese día no existe en el mes",DATE(VALUE(RIGHT(G234,4)),VALUE(LEFT(G234,2)),F234)),"")</f>
        <v/>
      </c>
    </row>
    <row r="235" ht="18" customHeight="1">
      <c r="A235" s="5" t="n"/>
      <c r="B235" s="5" t="n"/>
      <c r="C235" s="6">
        <f>IFERROR(INDEX(Productos!$B$2:$B$174,MATCH(B235,Productos!$A$2:$A$174,0)),"")</f>
        <v/>
      </c>
      <c r="D235" s="7">
        <f>IFERROR(INDEX(Productos!$C$2:$C$174,MATCH(B235,Productos!$A$2:$A$174,0)),"")</f>
        <v/>
      </c>
      <c r="E235" s="8" t="n"/>
      <c r="F235" s="8" t="n"/>
      <c r="G235" s="5" t="n"/>
      <c r="H235" s="9">
        <f>IF(AND(ISNUMBER(F235),G235&lt;&gt;""),IF(F235&gt;DAY(EOMONTH(DATE(VALUE(RIGHT(G235,4)),VALUE(LEFT(G235,2)),1),0)),"Ese día no existe en el mes",DATE(VALUE(RIGHT(G235,4)),VALUE(LEFT(G235,2)),F235)),"")</f>
        <v/>
      </c>
    </row>
    <row r="236" ht="18" customHeight="1">
      <c r="A236" s="5" t="n"/>
      <c r="B236" s="5" t="n"/>
      <c r="C236" s="6">
        <f>IFERROR(INDEX(Productos!$B$2:$B$174,MATCH(B236,Productos!$A$2:$A$174,0)),"")</f>
        <v/>
      </c>
      <c r="D236" s="7">
        <f>IFERROR(INDEX(Productos!$C$2:$C$174,MATCH(B236,Productos!$A$2:$A$174,0)),"")</f>
        <v/>
      </c>
      <c r="E236" s="8" t="n"/>
      <c r="F236" s="8" t="n"/>
      <c r="G236" s="5" t="n"/>
      <c r="H236" s="9">
        <f>IF(AND(ISNUMBER(F236),G236&lt;&gt;""),IF(F236&gt;DAY(EOMONTH(DATE(VALUE(RIGHT(G236,4)),VALUE(LEFT(G236,2)),1),0)),"Ese día no existe en el mes",DATE(VALUE(RIGHT(G236,4)),VALUE(LEFT(G236,2)),F236)),"")</f>
        <v/>
      </c>
    </row>
    <row r="237" ht="18" customHeight="1">
      <c r="A237" s="5" t="n"/>
      <c r="B237" s="5" t="n"/>
      <c r="C237" s="6">
        <f>IFERROR(INDEX(Productos!$B$2:$B$174,MATCH(B237,Productos!$A$2:$A$174,0)),"")</f>
        <v/>
      </c>
      <c r="D237" s="7">
        <f>IFERROR(INDEX(Productos!$C$2:$C$174,MATCH(B237,Productos!$A$2:$A$174,0)),"")</f>
        <v/>
      </c>
      <c r="E237" s="8" t="n"/>
      <c r="F237" s="8" t="n"/>
      <c r="G237" s="5" t="n"/>
      <c r="H237" s="9">
        <f>IF(AND(ISNUMBER(F237),G237&lt;&gt;""),IF(F237&gt;DAY(EOMONTH(DATE(VALUE(RIGHT(G237,4)),VALUE(LEFT(G237,2)),1),0)),"Ese día no existe en el mes",DATE(VALUE(RIGHT(G237,4)),VALUE(LEFT(G237,2)),F237)),"")</f>
        <v/>
      </c>
    </row>
    <row r="238" ht="18" customHeight="1">
      <c r="A238" s="5" t="n"/>
      <c r="B238" s="5" t="n"/>
      <c r="C238" s="6">
        <f>IFERROR(INDEX(Productos!$B$2:$B$174,MATCH(B238,Productos!$A$2:$A$174,0)),"")</f>
        <v/>
      </c>
      <c r="D238" s="7">
        <f>IFERROR(INDEX(Productos!$C$2:$C$174,MATCH(B238,Productos!$A$2:$A$174,0)),"")</f>
        <v/>
      </c>
      <c r="E238" s="8" t="n"/>
      <c r="F238" s="8" t="n"/>
      <c r="G238" s="5" t="n"/>
      <c r="H238" s="9">
        <f>IF(AND(ISNUMBER(F238),G238&lt;&gt;""),IF(F238&gt;DAY(EOMONTH(DATE(VALUE(RIGHT(G238,4)),VALUE(LEFT(G238,2)),1),0)),"Ese día no existe en el mes",DATE(VALUE(RIGHT(G238,4)),VALUE(LEFT(G238,2)),F238)),"")</f>
        <v/>
      </c>
    </row>
    <row r="239" ht="18" customHeight="1">
      <c r="A239" s="5" t="n"/>
      <c r="B239" s="5" t="n"/>
      <c r="C239" s="6">
        <f>IFERROR(INDEX(Productos!$B$2:$B$174,MATCH(B239,Productos!$A$2:$A$174,0)),"")</f>
        <v/>
      </c>
      <c r="D239" s="7">
        <f>IFERROR(INDEX(Productos!$C$2:$C$174,MATCH(B239,Productos!$A$2:$A$174,0)),"")</f>
        <v/>
      </c>
      <c r="E239" s="8" t="n"/>
      <c r="F239" s="8" t="n"/>
      <c r="G239" s="5" t="n"/>
      <c r="H239" s="9">
        <f>IF(AND(ISNUMBER(F239),G239&lt;&gt;""),IF(F239&gt;DAY(EOMONTH(DATE(VALUE(RIGHT(G239,4)),VALUE(LEFT(G239,2)),1),0)),"Ese día no existe en el mes",DATE(VALUE(RIGHT(G239,4)),VALUE(LEFT(G239,2)),F239)),"")</f>
        <v/>
      </c>
    </row>
    <row r="240" ht="18" customHeight="1">
      <c r="A240" s="5" t="n"/>
      <c r="B240" s="5" t="n"/>
      <c r="C240" s="6">
        <f>IFERROR(INDEX(Productos!$B$2:$B$174,MATCH(B240,Productos!$A$2:$A$174,0)),"")</f>
        <v/>
      </c>
      <c r="D240" s="7">
        <f>IFERROR(INDEX(Productos!$C$2:$C$174,MATCH(B240,Productos!$A$2:$A$174,0)),"")</f>
        <v/>
      </c>
      <c r="E240" s="8" t="n"/>
      <c r="F240" s="8" t="n"/>
      <c r="G240" s="5" t="n"/>
      <c r="H240" s="9">
        <f>IF(AND(ISNUMBER(F240),G240&lt;&gt;""),IF(F240&gt;DAY(EOMONTH(DATE(VALUE(RIGHT(G240,4)),VALUE(LEFT(G240,2)),1),0)),"Ese día no existe en el mes",DATE(VALUE(RIGHT(G240,4)),VALUE(LEFT(G240,2)),F240)),"")</f>
        <v/>
      </c>
    </row>
    <row r="241" ht="18" customHeight="1">
      <c r="A241" s="5" t="n"/>
      <c r="B241" s="5" t="n"/>
      <c r="C241" s="6">
        <f>IFERROR(INDEX(Productos!$B$2:$B$174,MATCH(B241,Productos!$A$2:$A$174,0)),"")</f>
        <v/>
      </c>
      <c r="D241" s="7">
        <f>IFERROR(INDEX(Productos!$C$2:$C$174,MATCH(B241,Productos!$A$2:$A$174,0)),"")</f>
        <v/>
      </c>
      <c r="E241" s="8" t="n"/>
      <c r="F241" s="8" t="n"/>
      <c r="G241" s="5" t="n"/>
      <c r="H241" s="9">
        <f>IF(AND(ISNUMBER(F241),G241&lt;&gt;""),IF(F241&gt;DAY(EOMONTH(DATE(VALUE(RIGHT(G241,4)),VALUE(LEFT(G241,2)),1),0)),"Ese día no existe en el mes",DATE(VALUE(RIGHT(G241,4)),VALUE(LEFT(G241,2)),F241)),"")</f>
        <v/>
      </c>
    </row>
    <row r="242" ht="18" customHeight="1">
      <c r="A242" s="5" t="n"/>
      <c r="B242" s="5" t="n"/>
      <c r="C242" s="6">
        <f>IFERROR(INDEX(Productos!$B$2:$B$174,MATCH(B242,Productos!$A$2:$A$174,0)),"")</f>
        <v/>
      </c>
      <c r="D242" s="7">
        <f>IFERROR(INDEX(Productos!$C$2:$C$174,MATCH(B242,Productos!$A$2:$A$174,0)),"")</f>
        <v/>
      </c>
      <c r="E242" s="8" t="n"/>
      <c r="F242" s="8" t="n"/>
      <c r="G242" s="5" t="n"/>
      <c r="H242" s="9">
        <f>IF(AND(ISNUMBER(F242),G242&lt;&gt;""),IF(F242&gt;DAY(EOMONTH(DATE(VALUE(RIGHT(G242,4)),VALUE(LEFT(G242,2)),1),0)),"Ese día no existe en el mes",DATE(VALUE(RIGHT(G242,4)),VALUE(LEFT(G242,2)),F242)),"")</f>
        <v/>
      </c>
    </row>
    <row r="243" ht="18" customHeight="1">
      <c r="A243" s="5" t="n"/>
      <c r="B243" s="5" t="n"/>
      <c r="C243" s="6">
        <f>IFERROR(INDEX(Productos!$B$2:$B$174,MATCH(B243,Productos!$A$2:$A$174,0)),"")</f>
        <v/>
      </c>
      <c r="D243" s="7">
        <f>IFERROR(INDEX(Productos!$C$2:$C$174,MATCH(B243,Productos!$A$2:$A$174,0)),"")</f>
        <v/>
      </c>
      <c r="E243" s="8" t="n"/>
      <c r="F243" s="8" t="n"/>
      <c r="G243" s="5" t="n"/>
      <c r="H243" s="9">
        <f>IF(AND(ISNUMBER(F243),G243&lt;&gt;""),IF(F243&gt;DAY(EOMONTH(DATE(VALUE(RIGHT(G243,4)),VALUE(LEFT(G243,2)),1),0)),"Ese día no existe en el mes",DATE(VALUE(RIGHT(G243,4)),VALUE(LEFT(G243,2)),F243)),"")</f>
        <v/>
      </c>
    </row>
    <row r="244" ht="18" customHeight="1">
      <c r="A244" s="5" t="n"/>
      <c r="B244" s="5" t="n"/>
      <c r="C244" s="6">
        <f>IFERROR(INDEX(Productos!$B$2:$B$174,MATCH(B244,Productos!$A$2:$A$174,0)),"")</f>
        <v/>
      </c>
      <c r="D244" s="7">
        <f>IFERROR(INDEX(Productos!$C$2:$C$174,MATCH(B244,Productos!$A$2:$A$174,0)),"")</f>
        <v/>
      </c>
      <c r="E244" s="8" t="n"/>
      <c r="F244" s="8" t="n"/>
      <c r="G244" s="5" t="n"/>
      <c r="H244" s="9">
        <f>IF(AND(ISNUMBER(F244),G244&lt;&gt;""),IF(F244&gt;DAY(EOMONTH(DATE(VALUE(RIGHT(G244,4)),VALUE(LEFT(G244,2)),1),0)),"Ese día no existe en el mes",DATE(VALUE(RIGHT(G244,4)),VALUE(LEFT(G244,2)),F244)),"")</f>
        <v/>
      </c>
    </row>
    <row r="245" ht="18" customHeight="1">
      <c r="A245" s="5" t="n"/>
      <c r="B245" s="5" t="n"/>
      <c r="C245" s="6">
        <f>IFERROR(INDEX(Productos!$B$2:$B$174,MATCH(B245,Productos!$A$2:$A$174,0)),"")</f>
        <v/>
      </c>
      <c r="D245" s="7">
        <f>IFERROR(INDEX(Productos!$C$2:$C$174,MATCH(B245,Productos!$A$2:$A$174,0)),"")</f>
        <v/>
      </c>
      <c r="E245" s="8" t="n"/>
      <c r="F245" s="8" t="n"/>
      <c r="G245" s="5" t="n"/>
      <c r="H245" s="9">
        <f>IF(AND(ISNUMBER(F245),G245&lt;&gt;""),IF(F245&gt;DAY(EOMONTH(DATE(VALUE(RIGHT(G245,4)),VALUE(LEFT(G245,2)),1),0)),"Ese día no existe en el mes",DATE(VALUE(RIGHT(G245,4)),VALUE(LEFT(G245,2)),F245)),"")</f>
        <v/>
      </c>
    </row>
    <row r="246" ht="18" customHeight="1">
      <c r="A246" s="5" t="n"/>
      <c r="B246" s="5" t="n"/>
      <c r="C246" s="6">
        <f>IFERROR(INDEX(Productos!$B$2:$B$174,MATCH(B246,Productos!$A$2:$A$174,0)),"")</f>
        <v/>
      </c>
      <c r="D246" s="7">
        <f>IFERROR(INDEX(Productos!$C$2:$C$174,MATCH(B246,Productos!$A$2:$A$174,0)),"")</f>
        <v/>
      </c>
      <c r="E246" s="8" t="n"/>
      <c r="F246" s="8" t="n"/>
      <c r="G246" s="5" t="n"/>
      <c r="H246" s="9">
        <f>IF(AND(ISNUMBER(F246),G246&lt;&gt;""),IF(F246&gt;DAY(EOMONTH(DATE(VALUE(RIGHT(G246,4)),VALUE(LEFT(G246,2)),1),0)),"Ese día no existe en el mes",DATE(VALUE(RIGHT(G246,4)),VALUE(LEFT(G246,2)),F246)),"")</f>
        <v/>
      </c>
    </row>
    <row r="247" ht="18" customHeight="1">
      <c r="A247" s="5" t="n"/>
      <c r="B247" s="5" t="n"/>
      <c r="C247" s="6">
        <f>IFERROR(INDEX(Productos!$B$2:$B$174,MATCH(B247,Productos!$A$2:$A$174,0)),"")</f>
        <v/>
      </c>
      <c r="D247" s="7">
        <f>IFERROR(INDEX(Productos!$C$2:$C$174,MATCH(B247,Productos!$A$2:$A$174,0)),"")</f>
        <v/>
      </c>
      <c r="E247" s="8" t="n"/>
      <c r="F247" s="8" t="n"/>
      <c r="G247" s="5" t="n"/>
      <c r="H247" s="9">
        <f>IF(AND(ISNUMBER(F247),G247&lt;&gt;""),IF(F247&gt;DAY(EOMONTH(DATE(VALUE(RIGHT(G247,4)),VALUE(LEFT(G247,2)),1),0)),"Ese día no existe en el mes",DATE(VALUE(RIGHT(G247,4)),VALUE(LEFT(G247,2)),F247)),"")</f>
        <v/>
      </c>
    </row>
    <row r="248" ht="18" customHeight="1">
      <c r="A248" s="5" t="n"/>
      <c r="B248" s="5" t="n"/>
      <c r="C248" s="6">
        <f>IFERROR(INDEX(Productos!$B$2:$B$174,MATCH(B248,Productos!$A$2:$A$174,0)),"")</f>
        <v/>
      </c>
      <c r="D248" s="7">
        <f>IFERROR(INDEX(Productos!$C$2:$C$174,MATCH(B248,Productos!$A$2:$A$174,0)),"")</f>
        <v/>
      </c>
      <c r="E248" s="8" t="n"/>
      <c r="F248" s="8" t="n"/>
      <c r="G248" s="5" t="n"/>
      <c r="H248" s="9">
        <f>IF(AND(ISNUMBER(F248),G248&lt;&gt;""),IF(F248&gt;DAY(EOMONTH(DATE(VALUE(RIGHT(G248,4)),VALUE(LEFT(G248,2)),1),0)),"Ese día no existe en el mes",DATE(VALUE(RIGHT(G248,4)),VALUE(LEFT(G248,2)),F248)),"")</f>
        <v/>
      </c>
    </row>
    <row r="249" ht="18" customHeight="1">
      <c r="A249" s="5" t="n"/>
      <c r="B249" s="5" t="n"/>
      <c r="C249" s="6">
        <f>IFERROR(INDEX(Productos!$B$2:$B$174,MATCH(B249,Productos!$A$2:$A$174,0)),"")</f>
        <v/>
      </c>
      <c r="D249" s="7">
        <f>IFERROR(INDEX(Productos!$C$2:$C$174,MATCH(B249,Productos!$A$2:$A$174,0)),"")</f>
        <v/>
      </c>
      <c r="E249" s="8" t="n"/>
      <c r="F249" s="8" t="n"/>
      <c r="G249" s="5" t="n"/>
      <c r="H249" s="9">
        <f>IF(AND(ISNUMBER(F249),G249&lt;&gt;""),IF(F249&gt;DAY(EOMONTH(DATE(VALUE(RIGHT(G249,4)),VALUE(LEFT(G249,2)),1),0)),"Ese día no existe en el mes",DATE(VALUE(RIGHT(G249,4)),VALUE(LEFT(G249,2)),F249)),"")</f>
        <v/>
      </c>
    </row>
    <row r="250" ht="18" customHeight="1">
      <c r="A250" s="5" t="n"/>
      <c r="B250" s="5" t="n"/>
      <c r="C250" s="6">
        <f>IFERROR(INDEX(Productos!$B$2:$B$174,MATCH(B250,Productos!$A$2:$A$174,0)),"")</f>
        <v/>
      </c>
      <c r="D250" s="7">
        <f>IFERROR(INDEX(Productos!$C$2:$C$174,MATCH(B250,Productos!$A$2:$A$174,0)),"")</f>
        <v/>
      </c>
      <c r="E250" s="8" t="n"/>
      <c r="F250" s="8" t="n"/>
      <c r="G250" s="5" t="n"/>
      <c r="H250" s="9">
        <f>IF(AND(ISNUMBER(F250),G250&lt;&gt;""),IF(F250&gt;DAY(EOMONTH(DATE(VALUE(RIGHT(G250,4)),VALUE(LEFT(G250,2)),1),0)),"Ese día no existe en el mes",DATE(VALUE(RIGHT(G250,4)),VALUE(LEFT(G250,2)),F250)),"")</f>
        <v/>
      </c>
    </row>
    <row r="251" ht="18" customHeight="1">
      <c r="A251" s="5" t="n"/>
      <c r="B251" s="5" t="n"/>
      <c r="C251" s="6">
        <f>IFERROR(INDEX(Productos!$B$2:$B$174,MATCH(B251,Productos!$A$2:$A$174,0)),"")</f>
        <v/>
      </c>
      <c r="D251" s="7">
        <f>IFERROR(INDEX(Productos!$C$2:$C$174,MATCH(B251,Productos!$A$2:$A$174,0)),"")</f>
        <v/>
      </c>
      <c r="E251" s="8" t="n"/>
      <c r="F251" s="8" t="n"/>
      <c r="G251" s="5" t="n"/>
      <c r="H251" s="9">
        <f>IF(AND(ISNUMBER(F251),G251&lt;&gt;""),IF(F251&gt;DAY(EOMONTH(DATE(VALUE(RIGHT(G251,4)),VALUE(LEFT(G251,2)),1),0)),"Ese día no existe en el mes",DATE(VALUE(RIGHT(G251,4)),VALUE(LEFT(G251,2)),F251)),"")</f>
        <v/>
      </c>
    </row>
    <row r="252" ht="18" customHeight="1">
      <c r="A252" s="5" t="n"/>
      <c r="B252" s="5" t="n"/>
      <c r="C252" s="6">
        <f>IFERROR(INDEX(Productos!$B$2:$B$174,MATCH(B252,Productos!$A$2:$A$174,0)),"")</f>
        <v/>
      </c>
      <c r="D252" s="7">
        <f>IFERROR(INDEX(Productos!$C$2:$C$174,MATCH(B252,Productos!$A$2:$A$174,0)),"")</f>
        <v/>
      </c>
      <c r="E252" s="8" t="n"/>
      <c r="F252" s="8" t="n"/>
      <c r="G252" s="5" t="n"/>
      <c r="H252" s="9">
        <f>IF(AND(ISNUMBER(F252),G252&lt;&gt;""),IF(F252&gt;DAY(EOMONTH(DATE(VALUE(RIGHT(G252,4)),VALUE(LEFT(G252,2)),1),0)),"Ese día no existe en el mes",DATE(VALUE(RIGHT(G252,4)),VALUE(LEFT(G252,2)),F252)),"")</f>
        <v/>
      </c>
    </row>
    <row r="253" ht="18" customHeight="1">
      <c r="A253" s="5" t="n"/>
      <c r="B253" s="5" t="n"/>
      <c r="C253" s="6">
        <f>IFERROR(INDEX(Productos!$B$2:$B$174,MATCH(B253,Productos!$A$2:$A$174,0)),"")</f>
        <v/>
      </c>
      <c r="D253" s="7">
        <f>IFERROR(INDEX(Productos!$C$2:$C$174,MATCH(B253,Productos!$A$2:$A$174,0)),"")</f>
        <v/>
      </c>
      <c r="E253" s="8" t="n"/>
      <c r="F253" s="8" t="n"/>
      <c r="G253" s="5" t="n"/>
      <c r="H253" s="9">
        <f>IF(AND(ISNUMBER(F253),G253&lt;&gt;""),IF(F253&gt;DAY(EOMONTH(DATE(VALUE(RIGHT(G253,4)),VALUE(LEFT(G253,2)),1),0)),"Ese día no existe en el mes",DATE(VALUE(RIGHT(G253,4)),VALUE(LEFT(G253,2)),F253)),"")</f>
        <v/>
      </c>
    </row>
    <row r="254" ht="18" customHeight="1">
      <c r="A254" s="5" t="n"/>
      <c r="B254" s="5" t="n"/>
      <c r="C254" s="6">
        <f>IFERROR(INDEX(Productos!$B$2:$B$174,MATCH(B254,Productos!$A$2:$A$174,0)),"")</f>
        <v/>
      </c>
      <c r="D254" s="7">
        <f>IFERROR(INDEX(Productos!$C$2:$C$174,MATCH(B254,Productos!$A$2:$A$174,0)),"")</f>
        <v/>
      </c>
      <c r="E254" s="8" t="n"/>
      <c r="F254" s="8" t="n"/>
      <c r="G254" s="5" t="n"/>
      <c r="H254" s="9">
        <f>IF(AND(ISNUMBER(F254),G254&lt;&gt;""),IF(F254&gt;DAY(EOMONTH(DATE(VALUE(RIGHT(G254,4)),VALUE(LEFT(G254,2)),1),0)),"Ese día no existe en el mes",DATE(VALUE(RIGHT(G254,4)),VALUE(LEFT(G254,2)),F254)),"")</f>
        <v/>
      </c>
    </row>
    <row r="255" ht="18" customHeight="1">
      <c r="A255" s="5" t="n"/>
      <c r="B255" s="5" t="n"/>
      <c r="C255" s="6">
        <f>IFERROR(INDEX(Productos!$B$2:$B$174,MATCH(B255,Productos!$A$2:$A$174,0)),"")</f>
        <v/>
      </c>
      <c r="D255" s="7">
        <f>IFERROR(INDEX(Productos!$C$2:$C$174,MATCH(B255,Productos!$A$2:$A$174,0)),"")</f>
        <v/>
      </c>
      <c r="E255" s="8" t="n"/>
      <c r="F255" s="8" t="n"/>
      <c r="G255" s="5" t="n"/>
      <c r="H255" s="9">
        <f>IF(AND(ISNUMBER(F255),G255&lt;&gt;""),IF(F255&gt;DAY(EOMONTH(DATE(VALUE(RIGHT(G255,4)),VALUE(LEFT(G255,2)),1),0)),"Ese día no existe en el mes",DATE(VALUE(RIGHT(G255,4)),VALUE(LEFT(G255,2)),F255)),"")</f>
        <v/>
      </c>
    </row>
    <row r="256" ht="18" customHeight="1">
      <c r="A256" s="5" t="n"/>
      <c r="B256" s="5" t="n"/>
      <c r="C256" s="6">
        <f>IFERROR(INDEX(Productos!$B$2:$B$174,MATCH(B256,Productos!$A$2:$A$174,0)),"")</f>
        <v/>
      </c>
      <c r="D256" s="7">
        <f>IFERROR(INDEX(Productos!$C$2:$C$174,MATCH(B256,Productos!$A$2:$A$174,0)),"")</f>
        <v/>
      </c>
      <c r="E256" s="8" t="n"/>
      <c r="F256" s="8" t="n"/>
      <c r="G256" s="5" t="n"/>
      <c r="H256" s="9">
        <f>IF(AND(ISNUMBER(F256),G256&lt;&gt;""),IF(F256&gt;DAY(EOMONTH(DATE(VALUE(RIGHT(G256,4)),VALUE(LEFT(G256,2)),1),0)),"Ese día no existe en el mes",DATE(VALUE(RIGHT(G256,4)),VALUE(LEFT(G256,2)),F256)),"")</f>
        <v/>
      </c>
    </row>
    <row r="257" ht="18" customHeight="1">
      <c r="A257" s="5" t="n"/>
      <c r="B257" s="5" t="n"/>
      <c r="C257" s="6">
        <f>IFERROR(INDEX(Productos!$B$2:$B$174,MATCH(B257,Productos!$A$2:$A$174,0)),"")</f>
        <v/>
      </c>
      <c r="D257" s="7">
        <f>IFERROR(INDEX(Productos!$C$2:$C$174,MATCH(B257,Productos!$A$2:$A$174,0)),"")</f>
        <v/>
      </c>
      <c r="E257" s="8" t="n"/>
      <c r="F257" s="8" t="n"/>
      <c r="G257" s="5" t="n"/>
      <c r="H257" s="9">
        <f>IF(AND(ISNUMBER(F257),G257&lt;&gt;""),IF(F257&gt;DAY(EOMONTH(DATE(VALUE(RIGHT(G257,4)),VALUE(LEFT(G257,2)),1),0)),"Ese día no existe en el mes",DATE(VALUE(RIGHT(G257,4)),VALUE(LEFT(G257,2)),F257)),"")</f>
        <v/>
      </c>
    </row>
    <row r="258" ht="18" customHeight="1">
      <c r="A258" s="5" t="n"/>
      <c r="B258" s="5" t="n"/>
      <c r="C258" s="6">
        <f>IFERROR(INDEX(Productos!$B$2:$B$174,MATCH(B258,Productos!$A$2:$A$174,0)),"")</f>
        <v/>
      </c>
      <c r="D258" s="7">
        <f>IFERROR(INDEX(Productos!$C$2:$C$174,MATCH(B258,Productos!$A$2:$A$174,0)),"")</f>
        <v/>
      </c>
      <c r="E258" s="8" t="n"/>
      <c r="F258" s="8" t="n"/>
      <c r="G258" s="5" t="n"/>
      <c r="H258" s="9">
        <f>IF(AND(ISNUMBER(F258),G258&lt;&gt;""),IF(F258&gt;DAY(EOMONTH(DATE(VALUE(RIGHT(G258,4)),VALUE(LEFT(G258,2)),1),0)),"Ese día no existe en el mes",DATE(VALUE(RIGHT(G258,4)),VALUE(LEFT(G258,2)),F258)),"")</f>
        <v/>
      </c>
    </row>
    <row r="259" ht="18" customHeight="1">
      <c r="A259" s="5" t="n"/>
      <c r="B259" s="5" t="n"/>
      <c r="C259" s="6">
        <f>IFERROR(INDEX(Productos!$B$2:$B$174,MATCH(B259,Productos!$A$2:$A$174,0)),"")</f>
        <v/>
      </c>
      <c r="D259" s="7">
        <f>IFERROR(INDEX(Productos!$C$2:$C$174,MATCH(B259,Productos!$A$2:$A$174,0)),"")</f>
        <v/>
      </c>
      <c r="E259" s="8" t="n"/>
      <c r="F259" s="8" t="n"/>
      <c r="G259" s="5" t="n"/>
      <c r="H259" s="9">
        <f>IF(AND(ISNUMBER(F259),G259&lt;&gt;""),IF(F259&gt;DAY(EOMONTH(DATE(VALUE(RIGHT(G259,4)),VALUE(LEFT(G259,2)),1),0)),"Ese día no existe en el mes",DATE(VALUE(RIGHT(G259,4)),VALUE(LEFT(G259,2)),F259)),"")</f>
        <v/>
      </c>
    </row>
    <row r="260" ht="18" customHeight="1">
      <c r="A260" s="5" t="n"/>
      <c r="B260" s="5" t="n"/>
      <c r="C260" s="6">
        <f>IFERROR(INDEX(Productos!$B$2:$B$174,MATCH(B260,Productos!$A$2:$A$174,0)),"")</f>
        <v/>
      </c>
      <c r="D260" s="7">
        <f>IFERROR(INDEX(Productos!$C$2:$C$174,MATCH(B260,Productos!$A$2:$A$174,0)),"")</f>
        <v/>
      </c>
      <c r="E260" s="8" t="n"/>
      <c r="F260" s="8" t="n"/>
      <c r="G260" s="5" t="n"/>
      <c r="H260" s="9">
        <f>IF(AND(ISNUMBER(F260),G260&lt;&gt;""),IF(F260&gt;DAY(EOMONTH(DATE(VALUE(RIGHT(G260,4)),VALUE(LEFT(G260,2)),1),0)),"Ese día no existe en el mes",DATE(VALUE(RIGHT(G260,4)),VALUE(LEFT(G260,2)),F260)),"")</f>
        <v/>
      </c>
    </row>
    <row r="261" ht="18" customHeight="1">
      <c r="A261" s="5" t="n"/>
      <c r="B261" s="5" t="n"/>
      <c r="C261" s="6">
        <f>IFERROR(INDEX(Productos!$B$2:$B$174,MATCH(B261,Productos!$A$2:$A$174,0)),"")</f>
        <v/>
      </c>
      <c r="D261" s="7">
        <f>IFERROR(INDEX(Productos!$C$2:$C$174,MATCH(B261,Productos!$A$2:$A$174,0)),"")</f>
        <v/>
      </c>
      <c r="E261" s="8" t="n"/>
      <c r="F261" s="8" t="n"/>
      <c r="G261" s="5" t="n"/>
      <c r="H261" s="9">
        <f>IF(AND(ISNUMBER(F261),G261&lt;&gt;""),IF(F261&gt;DAY(EOMONTH(DATE(VALUE(RIGHT(G261,4)),VALUE(LEFT(G261,2)),1),0)),"Ese día no existe en el mes",DATE(VALUE(RIGHT(G261,4)),VALUE(LEFT(G261,2)),F261)),"")</f>
        <v/>
      </c>
    </row>
    <row r="262" ht="18" customHeight="1">
      <c r="A262" s="5" t="n"/>
      <c r="B262" s="5" t="n"/>
      <c r="C262" s="6">
        <f>IFERROR(INDEX(Productos!$B$2:$B$174,MATCH(B262,Productos!$A$2:$A$174,0)),"")</f>
        <v/>
      </c>
      <c r="D262" s="7">
        <f>IFERROR(INDEX(Productos!$C$2:$C$174,MATCH(B262,Productos!$A$2:$A$174,0)),"")</f>
        <v/>
      </c>
      <c r="E262" s="8" t="n"/>
      <c r="F262" s="8" t="n"/>
      <c r="G262" s="5" t="n"/>
      <c r="H262" s="9">
        <f>IF(AND(ISNUMBER(F262),G262&lt;&gt;""),IF(F262&gt;DAY(EOMONTH(DATE(VALUE(RIGHT(G262,4)),VALUE(LEFT(G262,2)),1),0)),"Ese día no existe en el mes",DATE(VALUE(RIGHT(G262,4)),VALUE(LEFT(G262,2)),F262)),"")</f>
        <v/>
      </c>
    </row>
    <row r="263" ht="18" customHeight="1">
      <c r="A263" s="5" t="n"/>
      <c r="B263" s="5" t="n"/>
      <c r="C263" s="6">
        <f>IFERROR(INDEX(Productos!$B$2:$B$174,MATCH(B263,Productos!$A$2:$A$174,0)),"")</f>
        <v/>
      </c>
      <c r="D263" s="7">
        <f>IFERROR(INDEX(Productos!$C$2:$C$174,MATCH(B263,Productos!$A$2:$A$174,0)),"")</f>
        <v/>
      </c>
      <c r="E263" s="8" t="n"/>
      <c r="F263" s="8" t="n"/>
      <c r="G263" s="5" t="n"/>
      <c r="H263" s="9">
        <f>IF(AND(ISNUMBER(F263),G263&lt;&gt;""),IF(F263&gt;DAY(EOMONTH(DATE(VALUE(RIGHT(G263,4)),VALUE(LEFT(G263,2)),1),0)),"Ese día no existe en el mes",DATE(VALUE(RIGHT(G263,4)),VALUE(LEFT(G263,2)),F263)),"")</f>
        <v/>
      </c>
    </row>
    <row r="264" ht="18" customHeight="1">
      <c r="A264" s="5" t="n"/>
      <c r="B264" s="5" t="n"/>
      <c r="C264" s="6">
        <f>IFERROR(INDEX(Productos!$B$2:$B$174,MATCH(B264,Productos!$A$2:$A$174,0)),"")</f>
        <v/>
      </c>
      <c r="D264" s="7">
        <f>IFERROR(INDEX(Productos!$C$2:$C$174,MATCH(B264,Productos!$A$2:$A$174,0)),"")</f>
        <v/>
      </c>
      <c r="E264" s="8" t="n"/>
      <c r="F264" s="8" t="n"/>
      <c r="G264" s="5" t="n"/>
      <c r="H264" s="9">
        <f>IF(AND(ISNUMBER(F264),G264&lt;&gt;""),IF(F264&gt;DAY(EOMONTH(DATE(VALUE(RIGHT(G264,4)),VALUE(LEFT(G264,2)),1),0)),"Ese día no existe en el mes",DATE(VALUE(RIGHT(G264,4)),VALUE(LEFT(G264,2)),F264)),"")</f>
        <v/>
      </c>
    </row>
    <row r="265" ht="18" customHeight="1">
      <c r="A265" s="5" t="n"/>
      <c r="B265" s="5" t="n"/>
      <c r="C265" s="6">
        <f>IFERROR(INDEX(Productos!$B$2:$B$174,MATCH(B265,Productos!$A$2:$A$174,0)),"")</f>
        <v/>
      </c>
      <c r="D265" s="7">
        <f>IFERROR(INDEX(Productos!$C$2:$C$174,MATCH(B265,Productos!$A$2:$A$174,0)),"")</f>
        <v/>
      </c>
      <c r="E265" s="8" t="n"/>
      <c r="F265" s="8" t="n"/>
      <c r="G265" s="5" t="n"/>
      <c r="H265" s="9">
        <f>IF(AND(ISNUMBER(F265),G265&lt;&gt;""),IF(F265&gt;DAY(EOMONTH(DATE(VALUE(RIGHT(G265,4)),VALUE(LEFT(G265,2)),1),0)),"Ese día no existe en el mes",DATE(VALUE(RIGHT(G265,4)),VALUE(LEFT(G265,2)),F265)),"")</f>
        <v/>
      </c>
    </row>
    <row r="266" ht="18" customHeight="1">
      <c r="A266" s="5" t="n"/>
      <c r="B266" s="5" t="n"/>
      <c r="C266" s="6">
        <f>IFERROR(INDEX(Productos!$B$2:$B$174,MATCH(B266,Productos!$A$2:$A$174,0)),"")</f>
        <v/>
      </c>
      <c r="D266" s="7">
        <f>IFERROR(INDEX(Productos!$C$2:$C$174,MATCH(B266,Productos!$A$2:$A$174,0)),"")</f>
        <v/>
      </c>
      <c r="E266" s="8" t="n"/>
      <c r="F266" s="8" t="n"/>
      <c r="G266" s="5" t="n"/>
      <c r="H266" s="9">
        <f>IF(AND(ISNUMBER(F266),G266&lt;&gt;""),IF(F266&gt;DAY(EOMONTH(DATE(VALUE(RIGHT(G266,4)),VALUE(LEFT(G266,2)),1),0)),"Ese día no existe en el mes",DATE(VALUE(RIGHT(G266,4)),VALUE(LEFT(G266,2)),F266)),"")</f>
        <v/>
      </c>
    </row>
    <row r="267" ht="18" customHeight="1">
      <c r="A267" s="5" t="n"/>
      <c r="B267" s="5" t="n"/>
      <c r="C267" s="6">
        <f>IFERROR(INDEX(Productos!$B$2:$B$174,MATCH(B267,Productos!$A$2:$A$174,0)),"")</f>
        <v/>
      </c>
      <c r="D267" s="7">
        <f>IFERROR(INDEX(Productos!$C$2:$C$174,MATCH(B267,Productos!$A$2:$A$174,0)),"")</f>
        <v/>
      </c>
      <c r="E267" s="8" t="n"/>
      <c r="F267" s="8" t="n"/>
      <c r="G267" s="5" t="n"/>
      <c r="H267" s="9">
        <f>IF(AND(ISNUMBER(F267),G267&lt;&gt;""),IF(F267&gt;DAY(EOMONTH(DATE(VALUE(RIGHT(G267,4)),VALUE(LEFT(G267,2)),1),0)),"Ese día no existe en el mes",DATE(VALUE(RIGHT(G267,4)),VALUE(LEFT(G267,2)),F267)),"")</f>
        <v/>
      </c>
    </row>
    <row r="268" ht="18" customHeight="1">
      <c r="A268" s="5" t="n"/>
      <c r="B268" s="5" t="n"/>
      <c r="C268" s="6">
        <f>IFERROR(INDEX(Productos!$B$2:$B$174,MATCH(B268,Productos!$A$2:$A$174,0)),"")</f>
        <v/>
      </c>
      <c r="D268" s="7">
        <f>IFERROR(INDEX(Productos!$C$2:$C$174,MATCH(B268,Productos!$A$2:$A$174,0)),"")</f>
        <v/>
      </c>
      <c r="E268" s="8" t="n"/>
      <c r="F268" s="8" t="n"/>
      <c r="G268" s="5" t="n"/>
      <c r="H268" s="9">
        <f>IF(AND(ISNUMBER(F268),G268&lt;&gt;""),IF(F268&gt;DAY(EOMONTH(DATE(VALUE(RIGHT(G268,4)),VALUE(LEFT(G268,2)),1),0)),"Ese día no existe en el mes",DATE(VALUE(RIGHT(G268,4)),VALUE(LEFT(G268,2)),F268)),"")</f>
        <v/>
      </c>
    </row>
    <row r="269" ht="18" customHeight="1">
      <c r="A269" s="5" t="n"/>
      <c r="B269" s="5" t="n"/>
      <c r="C269" s="6">
        <f>IFERROR(INDEX(Productos!$B$2:$B$174,MATCH(B269,Productos!$A$2:$A$174,0)),"")</f>
        <v/>
      </c>
      <c r="D269" s="7">
        <f>IFERROR(INDEX(Productos!$C$2:$C$174,MATCH(B269,Productos!$A$2:$A$174,0)),"")</f>
        <v/>
      </c>
      <c r="E269" s="8" t="n"/>
      <c r="F269" s="8" t="n"/>
      <c r="G269" s="5" t="n"/>
      <c r="H269" s="9">
        <f>IF(AND(ISNUMBER(F269),G269&lt;&gt;""),IF(F269&gt;DAY(EOMONTH(DATE(VALUE(RIGHT(G269,4)),VALUE(LEFT(G269,2)),1),0)),"Ese día no existe en el mes",DATE(VALUE(RIGHT(G269,4)),VALUE(LEFT(G269,2)),F269)),"")</f>
        <v/>
      </c>
    </row>
    <row r="270" ht="18" customHeight="1">
      <c r="A270" s="5" t="n"/>
      <c r="B270" s="5" t="n"/>
      <c r="C270" s="6">
        <f>IFERROR(INDEX(Productos!$B$2:$B$174,MATCH(B270,Productos!$A$2:$A$174,0)),"")</f>
        <v/>
      </c>
      <c r="D270" s="7">
        <f>IFERROR(INDEX(Productos!$C$2:$C$174,MATCH(B270,Productos!$A$2:$A$174,0)),"")</f>
        <v/>
      </c>
      <c r="E270" s="8" t="n"/>
      <c r="F270" s="8" t="n"/>
      <c r="G270" s="5" t="n"/>
      <c r="H270" s="9">
        <f>IF(AND(ISNUMBER(F270),G270&lt;&gt;""),IF(F270&gt;DAY(EOMONTH(DATE(VALUE(RIGHT(G270,4)),VALUE(LEFT(G270,2)),1),0)),"Ese día no existe en el mes",DATE(VALUE(RIGHT(G270,4)),VALUE(LEFT(G270,2)),F270)),"")</f>
        <v/>
      </c>
    </row>
    <row r="271" ht="18" customHeight="1">
      <c r="A271" s="5" t="n"/>
      <c r="B271" s="5" t="n"/>
      <c r="C271" s="6">
        <f>IFERROR(INDEX(Productos!$B$2:$B$174,MATCH(B271,Productos!$A$2:$A$174,0)),"")</f>
        <v/>
      </c>
      <c r="D271" s="7">
        <f>IFERROR(INDEX(Productos!$C$2:$C$174,MATCH(B271,Productos!$A$2:$A$174,0)),"")</f>
        <v/>
      </c>
      <c r="E271" s="8" t="n"/>
      <c r="F271" s="8" t="n"/>
      <c r="G271" s="5" t="n"/>
      <c r="H271" s="9">
        <f>IF(AND(ISNUMBER(F271),G271&lt;&gt;""),IF(F271&gt;DAY(EOMONTH(DATE(VALUE(RIGHT(G271,4)),VALUE(LEFT(G271,2)),1),0)),"Ese día no existe en el mes",DATE(VALUE(RIGHT(G271,4)),VALUE(LEFT(G271,2)),F271)),"")</f>
        <v/>
      </c>
    </row>
    <row r="272" ht="18" customHeight="1">
      <c r="A272" s="5" t="n"/>
      <c r="B272" s="5" t="n"/>
      <c r="C272" s="6">
        <f>IFERROR(INDEX(Productos!$B$2:$B$174,MATCH(B272,Productos!$A$2:$A$174,0)),"")</f>
        <v/>
      </c>
      <c r="D272" s="7">
        <f>IFERROR(INDEX(Productos!$C$2:$C$174,MATCH(B272,Productos!$A$2:$A$174,0)),"")</f>
        <v/>
      </c>
      <c r="E272" s="8" t="n"/>
      <c r="F272" s="8" t="n"/>
      <c r="G272" s="5" t="n"/>
      <c r="H272" s="9">
        <f>IF(AND(ISNUMBER(F272),G272&lt;&gt;""),IF(F272&gt;DAY(EOMONTH(DATE(VALUE(RIGHT(G272,4)),VALUE(LEFT(G272,2)),1),0)),"Ese día no existe en el mes",DATE(VALUE(RIGHT(G272,4)),VALUE(LEFT(G272,2)),F272)),"")</f>
        <v/>
      </c>
    </row>
    <row r="273" ht="18" customHeight="1">
      <c r="A273" s="5" t="n"/>
      <c r="B273" s="5" t="n"/>
      <c r="C273" s="6">
        <f>IFERROR(INDEX(Productos!$B$2:$B$174,MATCH(B273,Productos!$A$2:$A$174,0)),"")</f>
        <v/>
      </c>
      <c r="D273" s="7">
        <f>IFERROR(INDEX(Productos!$C$2:$C$174,MATCH(B273,Productos!$A$2:$A$174,0)),"")</f>
        <v/>
      </c>
      <c r="E273" s="8" t="n"/>
      <c r="F273" s="8" t="n"/>
      <c r="G273" s="5" t="n"/>
      <c r="H273" s="9">
        <f>IF(AND(ISNUMBER(F273),G273&lt;&gt;""),IF(F273&gt;DAY(EOMONTH(DATE(VALUE(RIGHT(G273,4)),VALUE(LEFT(G273,2)),1),0)),"Ese día no existe en el mes",DATE(VALUE(RIGHT(G273,4)),VALUE(LEFT(G273,2)),F273)),"")</f>
        <v/>
      </c>
    </row>
    <row r="274" ht="18" customHeight="1">
      <c r="A274" s="5" t="n"/>
      <c r="B274" s="5" t="n"/>
      <c r="C274" s="6">
        <f>IFERROR(INDEX(Productos!$B$2:$B$174,MATCH(B274,Productos!$A$2:$A$174,0)),"")</f>
        <v/>
      </c>
      <c r="D274" s="7">
        <f>IFERROR(INDEX(Productos!$C$2:$C$174,MATCH(B274,Productos!$A$2:$A$174,0)),"")</f>
        <v/>
      </c>
      <c r="E274" s="8" t="n"/>
      <c r="F274" s="8" t="n"/>
      <c r="G274" s="5" t="n"/>
      <c r="H274" s="9">
        <f>IF(AND(ISNUMBER(F274),G274&lt;&gt;""),IF(F274&gt;DAY(EOMONTH(DATE(VALUE(RIGHT(G274,4)),VALUE(LEFT(G274,2)),1),0)),"Ese día no existe en el mes",DATE(VALUE(RIGHT(G274,4)),VALUE(LEFT(G274,2)),F274)),"")</f>
        <v/>
      </c>
    </row>
    <row r="275" ht="18" customHeight="1">
      <c r="A275" s="5" t="n"/>
      <c r="B275" s="5" t="n"/>
      <c r="C275" s="6">
        <f>IFERROR(INDEX(Productos!$B$2:$B$174,MATCH(B275,Productos!$A$2:$A$174,0)),"")</f>
        <v/>
      </c>
      <c r="D275" s="7">
        <f>IFERROR(INDEX(Productos!$C$2:$C$174,MATCH(B275,Productos!$A$2:$A$174,0)),"")</f>
        <v/>
      </c>
      <c r="E275" s="8" t="n"/>
      <c r="F275" s="8" t="n"/>
      <c r="G275" s="5" t="n"/>
      <c r="H275" s="9">
        <f>IF(AND(ISNUMBER(F275),G275&lt;&gt;""),IF(F275&gt;DAY(EOMONTH(DATE(VALUE(RIGHT(G275,4)),VALUE(LEFT(G275,2)),1),0)),"Ese día no existe en el mes",DATE(VALUE(RIGHT(G275,4)),VALUE(LEFT(G275,2)),F275)),"")</f>
        <v/>
      </c>
    </row>
    <row r="276" ht="18" customHeight="1">
      <c r="A276" s="5" t="n"/>
      <c r="B276" s="5" t="n"/>
      <c r="C276" s="6">
        <f>IFERROR(INDEX(Productos!$B$2:$B$174,MATCH(B276,Productos!$A$2:$A$174,0)),"")</f>
        <v/>
      </c>
      <c r="D276" s="7">
        <f>IFERROR(INDEX(Productos!$C$2:$C$174,MATCH(B276,Productos!$A$2:$A$174,0)),"")</f>
        <v/>
      </c>
      <c r="E276" s="8" t="n"/>
      <c r="F276" s="8" t="n"/>
      <c r="G276" s="5" t="n"/>
      <c r="H276" s="9">
        <f>IF(AND(ISNUMBER(F276),G276&lt;&gt;""),IF(F276&gt;DAY(EOMONTH(DATE(VALUE(RIGHT(G276,4)),VALUE(LEFT(G276,2)),1),0)),"Ese día no existe en el mes",DATE(VALUE(RIGHT(G276,4)),VALUE(LEFT(G276,2)),F276)),"")</f>
        <v/>
      </c>
    </row>
    <row r="277" ht="18" customHeight="1">
      <c r="A277" s="5" t="n"/>
      <c r="B277" s="5" t="n"/>
      <c r="C277" s="6">
        <f>IFERROR(INDEX(Productos!$B$2:$B$174,MATCH(B277,Productos!$A$2:$A$174,0)),"")</f>
        <v/>
      </c>
      <c r="D277" s="7">
        <f>IFERROR(INDEX(Productos!$C$2:$C$174,MATCH(B277,Productos!$A$2:$A$174,0)),"")</f>
        <v/>
      </c>
      <c r="E277" s="8" t="n"/>
      <c r="F277" s="8" t="n"/>
      <c r="G277" s="5" t="n"/>
      <c r="H277" s="9">
        <f>IF(AND(ISNUMBER(F277),G277&lt;&gt;""),IF(F277&gt;DAY(EOMONTH(DATE(VALUE(RIGHT(G277,4)),VALUE(LEFT(G277,2)),1),0)),"Ese día no existe en el mes",DATE(VALUE(RIGHT(G277,4)),VALUE(LEFT(G277,2)),F277)),"")</f>
        <v/>
      </c>
    </row>
    <row r="278" ht="18" customHeight="1">
      <c r="A278" s="5" t="n"/>
      <c r="B278" s="5" t="n"/>
      <c r="C278" s="6">
        <f>IFERROR(INDEX(Productos!$B$2:$B$174,MATCH(B278,Productos!$A$2:$A$174,0)),"")</f>
        <v/>
      </c>
      <c r="D278" s="7">
        <f>IFERROR(INDEX(Productos!$C$2:$C$174,MATCH(B278,Productos!$A$2:$A$174,0)),"")</f>
        <v/>
      </c>
      <c r="E278" s="8" t="n"/>
      <c r="F278" s="8" t="n"/>
      <c r="G278" s="5" t="n"/>
      <c r="H278" s="9">
        <f>IF(AND(ISNUMBER(F278),G278&lt;&gt;""),IF(F278&gt;DAY(EOMONTH(DATE(VALUE(RIGHT(G278,4)),VALUE(LEFT(G278,2)),1),0)),"Ese día no existe en el mes",DATE(VALUE(RIGHT(G278,4)),VALUE(LEFT(G278,2)),F278)),"")</f>
        <v/>
      </c>
    </row>
    <row r="279" ht="18" customHeight="1">
      <c r="A279" s="5" t="n"/>
      <c r="B279" s="5" t="n"/>
      <c r="C279" s="6">
        <f>IFERROR(INDEX(Productos!$B$2:$B$174,MATCH(B279,Productos!$A$2:$A$174,0)),"")</f>
        <v/>
      </c>
      <c r="D279" s="7">
        <f>IFERROR(INDEX(Productos!$C$2:$C$174,MATCH(B279,Productos!$A$2:$A$174,0)),"")</f>
        <v/>
      </c>
      <c r="E279" s="8" t="n"/>
      <c r="F279" s="8" t="n"/>
      <c r="G279" s="5" t="n"/>
      <c r="H279" s="9">
        <f>IF(AND(ISNUMBER(F279),G279&lt;&gt;""),IF(F279&gt;DAY(EOMONTH(DATE(VALUE(RIGHT(G279,4)),VALUE(LEFT(G279,2)),1),0)),"Ese día no existe en el mes",DATE(VALUE(RIGHT(G279,4)),VALUE(LEFT(G279,2)),F279)),"")</f>
        <v/>
      </c>
    </row>
    <row r="280" ht="18" customHeight="1">
      <c r="A280" s="5" t="n"/>
      <c r="B280" s="5" t="n"/>
      <c r="C280" s="6">
        <f>IFERROR(INDEX(Productos!$B$2:$B$174,MATCH(B280,Productos!$A$2:$A$174,0)),"")</f>
        <v/>
      </c>
      <c r="D280" s="7">
        <f>IFERROR(INDEX(Productos!$C$2:$C$174,MATCH(B280,Productos!$A$2:$A$174,0)),"")</f>
        <v/>
      </c>
      <c r="E280" s="8" t="n"/>
      <c r="F280" s="8" t="n"/>
      <c r="G280" s="5" t="n"/>
      <c r="H280" s="9">
        <f>IF(AND(ISNUMBER(F280),G280&lt;&gt;""),IF(F280&gt;DAY(EOMONTH(DATE(VALUE(RIGHT(G280,4)),VALUE(LEFT(G280,2)),1),0)),"Ese día no existe en el mes",DATE(VALUE(RIGHT(G280,4)),VALUE(LEFT(G280,2)),F280)),"")</f>
        <v/>
      </c>
    </row>
    <row r="281" ht="18" customHeight="1">
      <c r="A281" s="5" t="n"/>
      <c r="B281" s="5" t="n"/>
      <c r="C281" s="6">
        <f>IFERROR(INDEX(Productos!$B$2:$B$174,MATCH(B281,Productos!$A$2:$A$174,0)),"")</f>
        <v/>
      </c>
      <c r="D281" s="7">
        <f>IFERROR(INDEX(Productos!$C$2:$C$174,MATCH(B281,Productos!$A$2:$A$174,0)),"")</f>
        <v/>
      </c>
      <c r="E281" s="8" t="n"/>
      <c r="F281" s="8" t="n"/>
      <c r="G281" s="5" t="n"/>
      <c r="H281" s="9">
        <f>IF(AND(ISNUMBER(F281),G281&lt;&gt;""),IF(F281&gt;DAY(EOMONTH(DATE(VALUE(RIGHT(G281,4)),VALUE(LEFT(G281,2)),1),0)),"Ese día no existe en el mes",DATE(VALUE(RIGHT(G281,4)),VALUE(LEFT(G281,2)),F281)),"")</f>
        <v/>
      </c>
    </row>
    <row r="282" ht="18" customHeight="1">
      <c r="A282" s="5" t="n"/>
      <c r="B282" s="5" t="n"/>
      <c r="C282" s="6">
        <f>IFERROR(INDEX(Productos!$B$2:$B$174,MATCH(B282,Productos!$A$2:$A$174,0)),"")</f>
        <v/>
      </c>
      <c r="D282" s="7">
        <f>IFERROR(INDEX(Productos!$C$2:$C$174,MATCH(B282,Productos!$A$2:$A$174,0)),"")</f>
        <v/>
      </c>
      <c r="E282" s="8" t="n"/>
      <c r="F282" s="8" t="n"/>
      <c r="G282" s="5" t="n"/>
      <c r="H282" s="9">
        <f>IF(AND(ISNUMBER(F282),G282&lt;&gt;""),IF(F282&gt;DAY(EOMONTH(DATE(VALUE(RIGHT(G282,4)),VALUE(LEFT(G282,2)),1),0)),"Ese día no existe en el mes",DATE(VALUE(RIGHT(G282,4)),VALUE(LEFT(G282,2)),F282)),"")</f>
        <v/>
      </c>
    </row>
    <row r="283" ht="18" customHeight="1">
      <c r="A283" s="5" t="n"/>
      <c r="B283" s="5" t="n"/>
      <c r="C283" s="6">
        <f>IFERROR(INDEX(Productos!$B$2:$B$174,MATCH(B283,Productos!$A$2:$A$174,0)),"")</f>
        <v/>
      </c>
      <c r="D283" s="7">
        <f>IFERROR(INDEX(Productos!$C$2:$C$174,MATCH(B283,Productos!$A$2:$A$174,0)),"")</f>
        <v/>
      </c>
      <c r="E283" s="8" t="n"/>
      <c r="F283" s="8" t="n"/>
      <c r="G283" s="5" t="n"/>
      <c r="H283" s="9">
        <f>IF(AND(ISNUMBER(F283),G283&lt;&gt;""),IF(F283&gt;DAY(EOMONTH(DATE(VALUE(RIGHT(G283,4)),VALUE(LEFT(G283,2)),1),0)),"Ese día no existe en el mes",DATE(VALUE(RIGHT(G283,4)),VALUE(LEFT(G283,2)),F283)),"")</f>
        <v/>
      </c>
    </row>
    <row r="284" ht="18" customHeight="1">
      <c r="A284" s="5" t="n"/>
      <c r="B284" s="5" t="n"/>
      <c r="C284" s="6">
        <f>IFERROR(INDEX(Productos!$B$2:$B$174,MATCH(B284,Productos!$A$2:$A$174,0)),"")</f>
        <v/>
      </c>
      <c r="D284" s="7">
        <f>IFERROR(INDEX(Productos!$C$2:$C$174,MATCH(B284,Productos!$A$2:$A$174,0)),"")</f>
        <v/>
      </c>
      <c r="E284" s="8" t="n"/>
      <c r="F284" s="8" t="n"/>
      <c r="G284" s="5" t="n"/>
      <c r="H284" s="9">
        <f>IF(AND(ISNUMBER(F284),G284&lt;&gt;""),IF(F284&gt;DAY(EOMONTH(DATE(VALUE(RIGHT(G284,4)),VALUE(LEFT(G284,2)),1),0)),"Ese día no existe en el mes",DATE(VALUE(RIGHT(G284,4)),VALUE(LEFT(G284,2)),F284)),"")</f>
        <v/>
      </c>
    </row>
    <row r="285" ht="18" customHeight="1">
      <c r="A285" s="5" t="n"/>
      <c r="B285" s="5" t="n"/>
      <c r="C285" s="6">
        <f>IFERROR(INDEX(Productos!$B$2:$B$174,MATCH(B285,Productos!$A$2:$A$174,0)),"")</f>
        <v/>
      </c>
      <c r="D285" s="7">
        <f>IFERROR(INDEX(Productos!$C$2:$C$174,MATCH(B285,Productos!$A$2:$A$174,0)),"")</f>
        <v/>
      </c>
      <c r="E285" s="8" t="n"/>
      <c r="F285" s="8" t="n"/>
      <c r="G285" s="5" t="n"/>
      <c r="H285" s="9">
        <f>IF(AND(ISNUMBER(F285),G285&lt;&gt;""),IF(F285&gt;DAY(EOMONTH(DATE(VALUE(RIGHT(G285,4)),VALUE(LEFT(G285,2)),1),0)),"Ese día no existe en el mes",DATE(VALUE(RIGHT(G285,4)),VALUE(LEFT(G285,2)),F285)),"")</f>
        <v/>
      </c>
    </row>
    <row r="286" ht="18" customHeight="1">
      <c r="A286" s="5" t="n"/>
      <c r="B286" s="5" t="n"/>
      <c r="C286" s="6">
        <f>IFERROR(INDEX(Productos!$B$2:$B$174,MATCH(B286,Productos!$A$2:$A$174,0)),"")</f>
        <v/>
      </c>
      <c r="D286" s="7">
        <f>IFERROR(INDEX(Productos!$C$2:$C$174,MATCH(B286,Productos!$A$2:$A$174,0)),"")</f>
        <v/>
      </c>
      <c r="E286" s="8" t="n"/>
      <c r="F286" s="8" t="n"/>
      <c r="G286" s="5" t="n"/>
      <c r="H286" s="9">
        <f>IF(AND(ISNUMBER(F286),G286&lt;&gt;""),IF(F286&gt;DAY(EOMONTH(DATE(VALUE(RIGHT(G286,4)),VALUE(LEFT(G286,2)),1),0)),"Ese día no existe en el mes",DATE(VALUE(RIGHT(G286,4)),VALUE(LEFT(G286,2)),F286)),"")</f>
        <v/>
      </c>
    </row>
    <row r="287" ht="18" customHeight="1">
      <c r="A287" s="5" t="n"/>
      <c r="B287" s="5" t="n"/>
      <c r="C287" s="6">
        <f>IFERROR(INDEX(Productos!$B$2:$B$174,MATCH(B287,Productos!$A$2:$A$174,0)),"")</f>
        <v/>
      </c>
      <c r="D287" s="7">
        <f>IFERROR(INDEX(Productos!$C$2:$C$174,MATCH(B287,Productos!$A$2:$A$174,0)),"")</f>
        <v/>
      </c>
      <c r="E287" s="8" t="n"/>
      <c r="F287" s="8" t="n"/>
      <c r="G287" s="5" t="n"/>
      <c r="H287" s="9">
        <f>IF(AND(ISNUMBER(F287),G287&lt;&gt;""),IF(F287&gt;DAY(EOMONTH(DATE(VALUE(RIGHT(G287,4)),VALUE(LEFT(G287,2)),1),0)),"Ese día no existe en el mes",DATE(VALUE(RIGHT(G287,4)),VALUE(LEFT(G287,2)),F287)),"")</f>
        <v/>
      </c>
    </row>
    <row r="288" ht="18" customHeight="1">
      <c r="A288" s="5" t="n"/>
      <c r="B288" s="5" t="n"/>
      <c r="C288" s="6">
        <f>IFERROR(INDEX(Productos!$B$2:$B$174,MATCH(B288,Productos!$A$2:$A$174,0)),"")</f>
        <v/>
      </c>
      <c r="D288" s="7">
        <f>IFERROR(INDEX(Productos!$C$2:$C$174,MATCH(B288,Productos!$A$2:$A$174,0)),"")</f>
        <v/>
      </c>
      <c r="E288" s="8" t="n"/>
      <c r="F288" s="8" t="n"/>
      <c r="G288" s="5" t="n"/>
      <c r="H288" s="9">
        <f>IF(AND(ISNUMBER(F288),G288&lt;&gt;""),IF(F288&gt;DAY(EOMONTH(DATE(VALUE(RIGHT(G288,4)),VALUE(LEFT(G288,2)),1),0)),"Ese día no existe en el mes",DATE(VALUE(RIGHT(G288,4)),VALUE(LEFT(G288,2)),F288)),"")</f>
        <v/>
      </c>
    </row>
    <row r="289" ht="18" customHeight="1">
      <c r="A289" s="5" t="n"/>
      <c r="B289" s="5" t="n"/>
      <c r="C289" s="6">
        <f>IFERROR(INDEX(Productos!$B$2:$B$174,MATCH(B289,Productos!$A$2:$A$174,0)),"")</f>
        <v/>
      </c>
      <c r="D289" s="7">
        <f>IFERROR(INDEX(Productos!$C$2:$C$174,MATCH(B289,Productos!$A$2:$A$174,0)),"")</f>
        <v/>
      </c>
      <c r="E289" s="8" t="n"/>
      <c r="F289" s="8" t="n"/>
      <c r="G289" s="5" t="n"/>
      <c r="H289" s="9">
        <f>IF(AND(ISNUMBER(F289),G289&lt;&gt;""),IF(F289&gt;DAY(EOMONTH(DATE(VALUE(RIGHT(G289,4)),VALUE(LEFT(G289,2)),1),0)),"Ese día no existe en el mes",DATE(VALUE(RIGHT(G289,4)),VALUE(LEFT(G289,2)),F289)),"")</f>
        <v/>
      </c>
    </row>
    <row r="290" ht="18" customHeight="1">
      <c r="A290" s="5" t="n"/>
      <c r="B290" s="5" t="n"/>
      <c r="C290" s="6">
        <f>IFERROR(INDEX(Productos!$B$2:$B$174,MATCH(B290,Productos!$A$2:$A$174,0)),"")</f>
        <v/>
      </c>
      <c r="D290" s="7">
        <f>IFERROR(INDEX(Productos!$C$2:$C$174,MATCH(B290,Productos!$A$2:$A$174,0)),"")</f>
        <v/>
      </c>
      <c r="E290" s="8" t="n"/>
      <c r="F290" s="8" t="n"/>
      <c r="G290" s="5" t="n"/>
      <c r="H290" s="9">
        <f>IF(AND(ISNUMBER(F290),G290&lt;&gt;""),IF(F290&gt;DAY(EOMONTH(DATE(VALUE(RIGHT(G290,4)),VALUE(LEFT(G290,2)),1),0)),"Ese día no existe en el mes",DATE(VALUE(RIGHT(G290,4)),VALUE(LEFT(G290,2)),F290)),"")</f>
        <v/>
      </c>
    </row>
    <row r="291" ht="18" customHeight="1">
      <c r="A291" s="5" t="n"/>
      <c r="B291" s="5" t="n"/>
      <c r="C291" s="6">
        <f>IFERROR(INDEX(Productos!$B$2:$B$174,MATCH(B291,Productos!$A$2:$A$174,0)),"")</f>
        <v/>
      </c>
      <c r="D291" s="7">
        <f>IFERROR(INDEX(Productos!$C$2:$C$174,MATCH(B291,Productos!$A$2:$A$174,0)),"")</f>
        <v/>
      </c>
      <c r="E291" s="8" t="n"/>
      <c r="F291" s="8" t="n"/>
      <c r="G291" s="5" t="n"/>
      <c r="H291" s="9">
        <f>IF(AND(ISNUMBER(F291),G291&lt;&gt;""),IF(F291&gt;DAY(EOMONTH(DATE(VALUE(RIGHT(G291,4)),VALUE(LEFT(G291,2)),1),0)),"Ese día no existe en el mes",DATE(VALUE(RIGHT(G291,4)),VALUE(LEFT(G291,2)),F291)),"")</f>
        <v/>
      </c>
    </row>
    <row r="292" ht="18" customHeight="1">
      <c r="A292" s="5" t="n"/>
      <c r="B292" s="5" t="n"/>
      <c r="C292" s="6">
        <f>IFERROR(INDEX(Productos!$B$2:$B$174,MATCH(B292,Productos!$A$2:$A$174,0)),"")</f>
        <v/>
      </c>
      <c r="D292" s="7">
        <f>IFERROR(INDEX(Productos!$C$2:$C$174,MATCH(B292,Productos!$A$2:$A$174,0)),"")</f>
        <v/>
      </c>
      <c r="E292" s="8" t="n"/>
      <c r="F292" s="8" t="n"/>
      <c r="G292" s="5" t="n"/>
      <c r="H292" s="9">
        <f>IF(AND(ISNUMBER(F292),G292&lt;&gt;""),IF(F292&gt;DAY(EOMONTH(DATE(VALUE(RIGHT(G292,4)),VALUE(LEFT(G292,2)),1),0)),"Ese día no existe en el mes",DATE(VALUE(RIGHT(G292,4)),VALUE(LEFT(G292,2)),F292)),"")</f>
        <v/>
      </c>
    </row>
    <row r="293" ht="18" customHeight="1">
      <c r="A293" s="5" t="n"/>
      <c r="B293" s="5" t="n"/>
      <c r="C293" s="6">
        <f>IFERROR(INDEX(Productos!$B$2:$B$174,MATCH(B293,Productos!$A$2:$A$174,0)),"")</f>
        <v/>
      </c>
      <c r="D293" s="7">
        <f>IFERROR(INDEX(Productos!$C$2:$C$174,MATCH(B293,Productos!$A$2:$A$174,0)),"")</f>
        <v/>
      </c>
      <c r="E293" s="8" t="n"/>
      <c r="F293" s="8" t="n"/>
      <c r="G293" s="5" t="n"/>
      <c r="H293" s="9">
        <f>IF(AND(ISNUMBER(F293),G293&lt;&gt;""),IF(F293&gt;DAY(EOMONTH(DATE(VALUE(RIGHT(G293,4)),VALUE(LEFT(G293,2)),1),0)),"Ese día no existe en el mes",DATE(VALUE(RIGHT(G293,4)),VALUE(LEFT(G293,2)),F293)),"")</f>
        <v/>
      </c>
    </row>
    <row r="294" ht="18" customHeight="1">
      <c r="A294" s="5" t="n"/>
      <c r="B294" s="5" t="n"/>
      <c r="C294" s="6">
        <f>IFERROR(INDEX(Productos!$B$2:$B$174,MATCH(B294,Productos!$A$2:$A$174,0)),"")</f>
        <v/>
      </c>
      <c r="D294" s="7">
        <f>IFERROR(INDEX(Productos!$C$2:$C$174,MATCH(B294,Productos!$A$2:$A$174,0)),"")</f>
        <v/>
      </c>
      <c r="E294" s="8" t="n"/>
      <c r="F294" s="8" t="n"/>
      <c r="G294" s="5" t="n"/>
      <c r="H294" s="9">
        <f>IF(AND(ISNUMBER(F294),G294&lt;&gt;""),IF(F294&gt;DAY(EOMONTH(DATE(VALUE(RIGHT(G294,4)),VALUE(LEFT(G294,2)),1),0)),"Ese día no existe en el mes",DATE(VALUE(RIGHT(G294,4)),VALUE(LEFT(G294,2)),F294)),"")</f>
        <v/>
      </c>
    </row>
    <row r="295" ht="18" customHeight="1">
      <c r="A295" s="5" t="n"/>
      <c r="B295" s="5" t="n"/>
      <c r="C295" s="6">
        <f>IFERROR(INDEX(Productos!$B$2:$B$174,MATCH(B295,Productos!$A$2:$A$174,0)),"")</f>
        <v/>
      </c>
      <c r="D295" s="7">
        <f>IFERROR(INDEX(Productos!$C$2:$C$174,MATCH(B295,Productos!$A$2:$A$174,0)),"")</f>
        <v/>
      </c>
      <c r="E295" s="8" t="n"/>
      <c r="F295" s="8" t="n"/>
      <c r="G295" s="5" t="n"/>
      <c r="H295" s="9">
        <f>IF(AND(ISNUMBER(F295),G295&lt;&gt;""),IF(F295&gt;DAY(EOMONTH(DATE(VALUE(RIGHT(G295,4)),VALUE(LEFT(G295,2)),1),0)),"Ese día no existe en el mes",DATE(VALUE(RIGHT(G295,4)),VALUE(LEFT(G295,2)),F295)),"")</f>
        <v/>
      </c>
    </row>
    <row r="296" ht="18" customHeight="1">
      <c r="A296" s="5" t="n"/>
      <c r="B296" s="5" t="n"/>
      <c r="C296" s="6">
        <f>IFERROR(INDEX(Productos!$B$2:$B$174,MATCH(B296,Productos!$A$2:$A$174,0)),"")</f>
        <v/>
      </c>
      <c r="D296" s="7">
        <f>IFERROR(INDEX(Productos!$C$2:$C$174,MATCH(B296,Productos!$A$2:$A$174,0)),"")</f>
        <v/>
      </c>
      <c r="E296" s="8" t="n"/>
      <c r="F296" s="8" t="n"/>
      <c r="G296" s="5" t="n"/>
      <c r="H296" s="9">
        <f>IF(AND(ISNUMBER(F296),G296&lt;&gt;""),IF(F296&gt;DAY(EOMONTH(DATE(VALUE(RIGHT(G296,4)),VALUE(LEFT(G296,2)),1),0)),"Ese día no existe en el mes",DATE(VALUE(RIGHT(G296,4)),VALUE(LEFT(G296,2)),F296)),"")</f>
        <v/>
      </c>
    </row>
    <row r="297" ht="18" customHeight="1">
      <c r="A297" s="5" t="n"/>
      <c r="B297" s="5" t="n"/>
      <c r="C297" s="6">
        <f>IFERROR(INDEX(Productos!$B$2:$B$174,MATCH(B297,Productos!$A$2:$A$174,0)),"")</f>
        <v/>
      </c>
      <c r="D297" s="7">
        <f>IFERROR(INDEX(Productos!$C$2:$C$174,MATCH(B297,Productos!$A$2:$A$174,0)),"")</f>
        <v/>
      </c>
      <c r="E297" s="8" t="n"/>
      <c r="F297" s="8" t="n"/>
      <c r="G297" s="5" t="n"/>
      <c r="H297" s="9">
        <f>IF(AND(ISNUMBER(F297),G297&lt;&gt;""),IF(F297&gt;DAY(EOMONTH(DATE(VALUE(RIGHT(G297,4)),VALUE(LEFT(G297,2)),1),0)),"Ese día no existe en el mes",DATE(VALUE(RIGHT(G297,4)),VALUE(LEFT(G297,2)),F297)),"")</f>
        <v/>
      </c>
    </row>
    <row r="298" ht="18" customHeight="1">
      <c r="A298" s="5" t="n"/>
      <c r="B298" s="5" t="n"/>
      <c r="C298" s="6">
        <f>IFERROR(INDEX(Productos!$B$2:$B$174,MATCH(B298,Productos!$A$2:$A$174,0)),"")</f>
        <v/>
      </c>
      <c r="D298" s="7">
        <f>IFERROR(INDEX(Productos!$C$2:$C$174,MATCH(B298,Productos!$A$2:$A$174,0)),"")</f>
        <v/>
      </c>
      <c r="E298" s="8" t="n"/>
      <c r="F298" s="8" t="n"/>
      <c r="G298" s="5" t="n"/>
      <c r="H298" s="9">
        <f>IF(AND(ISNUMBER(F298),G298&lt;&gt;""),IF(F298&gt;DAY(EOMONTH(DATE(VALUE(RIGHT(G298,4)),VALUE(LEFT(G298,2)),1),0)),"Ese día no existe en el mes",DATE(VALUE(RIGHT(G298,4)),VALUE(LEFT(G298,2)),F298)),"")</f>
        <v/>
      </c>
    </row>
    <row r="299" ht="18" customHeight="1">
      <c r="A299" s="5" t="n"/>
      <c r="B299" s="5" t="n"/>
      <c r="C299" s="6">
        <f>IFERROR(INDEX(Productos!$B$2:$B$174,MATCH(B299,Productos!$A$2:$A$174,0)),"")</f>
        <v/>
      </c>
      <c r="D299" s="7">
        <f>IFERROR(INDEX(Productos!$C$2:$C$174,MATCH(B299,Productos!$A$2:$A$174,0)),"")</f>
        <v/>
      </c>
      <c r="E299" s="8" t="n"/>
      <c r="F299" s="8" t="n"/>
      <c r="G299" s="5" t="n"/>
      <c r="H299" s="9">
        <f>IF(AND(ISNUMBER(F299),G299&lt;&gt;""),IF(F299&gt;DAY(EOMONTH(DATE(VALUE(RIGHT(G299,4)),VALUE(LEFT(G299,2)),1),0)),"Ese día no existe en el mes",DATE(VALUE(RIGHT(G299,4)),VALUE(LEFT(G299,2)),F299)),"")</f>
        <v/>
      </c>
    </row>
    <row r="300" ht="18" customHeight="1">
      <c r="A300" s="5" t="n"/>
      <c r="B300" s="5" t="n"/>
      <c r="C300" s="6">
        <f>IFERROR(INDEX(Productos!$B$2:$B$174,MATCH(B300,Productos!$A$2:$A$174,0)),"")</f>
        <v/>
      </c>
      <c r="D300" s="7">
        <f>IFERROR(INDEX(Productos!$C$2:$C$174,MATCH(B300,Productos!$A$2:$A$174,0)),"")</f>
        <v/>
      </c>
      <c r="E300" s="8" t="n"/>
      <c r="F300" s="8" t="n"/>
      <c r="G300" s="5" t="n"/>
      <c r="H300" s="9">
        <f>IF(AND(ISNUMBER(F300),G300&lt;&gt;""),IF(F300&gt;DAY(EOMONTH(DATE(VALUE(RIGHT(G300,4)),VALUE(LEFT(G300,2)),1),0)),"Ese día no existe en el mes",DATE(VALUE(RIGHT(G300,4)),VALUE(LEFT(G300,2)),F300)),"")</f>
        <v/>
      </c>
    </row>
    <row r="301" ht="18" customHeight="1">
      <c r="A301" s="5" t="n"/>
      <c r="B301" s="5" t="n"/>
      <c r="C301" s="6">
        <f>IFERROR(INDEX(Productos!$B$2:$B$174,MATCH(B301,Productos!$A$2:$A$174,0)),"")</f>
        <v/>
      </c>
      <c r="D301" s="7">
        <f>IFERROR(INDEX(Productos!$C$2:$C$174,MATCH(B301,Productos!$A$2:$A$174,0)),"")</f>
        <v/>
      </c>
      <c r="E301" s="8" t="n"/>
      <c r="F301" s="8" t="n"/>
      <c r="G301" s="5" t="n"/>
      <c r="H301" s="9">
        <f>IF(AND(ISNUMBER(F301),G301&lt;&gt;""),IF(F301&gt;DAY(EOMONTH(DATE(VALUE(RIGHT(G301,4)),VALUE(LEFT(G301,2)),1),0)),"Ese día no existe en el mes",DATE(VALUE(RIGHT(G301,4)),VALUE(LEFT(G301,2)),F301)),"")</f>
        <v/>
      </c>
    </row>
    <row r="302" ht="18" customHeight="1">
      <c r="A302" s="5" t="n"/>
      <c r="B302" s="5" t="n"/>
      <c r="C302" s="6">
        <f>IFERROR(INDEX(Productos!$B$2:$B$174,MATCH(B302,Productos!$A$2:$A$174,0)),"")</f>
        <v/>
      </c>
      <c r="D302" s="7">
        <f>IFERROR(INDEX(Productos!$C$2:$C$174,MATCH(B302,Productos!$A$2:$A$174,0)),"")</f>
        <v/>
      </c>
      <c r="E302" s="8" t="n"/>
      <c r="F302" s="8" t="n"/>
      <c r="G302" s="5" t="n"/>
      <c r="H302" s="9">
        <f>IF(AND(ISNUMBER(F302),G302&lt;&gt;""),IF(F302&gt;DAY(EOMONTH(DATE(VALUE(RIGHT(G302,4)),VALUE(LEFT(G302,2)),1),0)),"Ese día no existe en el mes",DATE(VALUE(RIGHT(G302,4)),VALUE(LEFT(G302,2)),F302)),"")</f>
        <v/>
      </c>
    </row>
    <row r="303" ht="18" customHeight="1">
      <c r="A303" s="5" t="n"/>
      <c r="B303" s="5" t="n"/>
      <c r="C303" s="6">
        <f>IFERROR(INDEX(Productos!$B$2:$B$174,MATCH(B303,Productos!$A$2:$A$174,0)),"")</f>
        <v/>
      </c>
      <c r="D303" s="7">
        <f>IFERROR(INDEX(Productos!$C$2:$C$174,MATCH(B303,Productos!$A$2:$A$174,0)),"")</f>
        <v/>
      </c>
      <c r="E303" s="8" t="n"/>
      <c r="F303" s="8" t="n"/>
      <c r="G303" s="5" t="n"/>
      <c r="H303" s="9">
        <f>IF(AND(ISNUMBER(F303),G303&lt;&gt;""),IF(F303&gt;DAY(EOMONTH(DATE(VALUE(RIGHT(G303,4)),VALUE(LEFT(G303,2)),1),0)),"Ese día no existe en el mes",DATE(VALUE(RIGHT(G303,4)),VALUE(LEFT(G303,2)),F303)),"")</f>
        <v/>
      </c>
    </row>
    <row r="304" ht="18" customHeight="1">
      <c r="A304" s="5" t="n"/>
      <c r="B304" s="5" t="n"/>
      <c r="C304" s="6">
        <f>IFERROR(INDEX(Productos!$B$2:$B$174,MATCH(B304,Productos!$A$2:$A$174,0)),"")</f>
        <v/>
      </c>
      <c r="D304" s="7">
        <f>IFERROR(INDEX(Productos!$C$2:$C$174,MATCH(B304,Productos!$A$2:$A$174,0)),"")</f>
        <v/>
      </c>
      <c r="E304" s="8" t="n"/>
      <c r="F304" s="8" t="n"/>
      <c r="G304" s="5" t="n"/>
      <c r="H304" s="9">
        <f>IF(AND(ISNUMBER(F304),G304&lt;&gt;""),IF(F304&gt;DAY(EOMONTH(DATE(VALUE(RIGHT(G304,4)),VALUE(LEFT(G304,2)),1),0)),"Ese día no existe en el mes",DATE(VALUE(RIGHT(G304,4)),VALUE(LEFT(G304,2)),F304)),"")</f>
        <v/>
      </c>
    </row>
    <row r="305" ht="18" customHeight="1">
      <c r="A305" s="5" t="n"/>
      <c r="B305" s="5" t="n"/>
      <c r="C305" s="6">
        <f>IFERROR(INDEX(Productos!$B$2:$B$174,MATCH(B305,Productos!$A$2:$A$174,0)),"")</f>
        <v/>
      </c>
      <c r="D305" s="7">
        <f>IFERROR(INDEX(Productos!$C$2:$C$174,MATCH(B305,Productos!$A$2:$A$174,0)),"")</f>
        <v/>
      </c>
      <c r="E305" s="8" t="n"/>
      <c r="F305" s="8" t="n"/>
      <c r="G305" s="5" t="n"/>
      <c r="H305" s="9">
        <f>IF(AND(ISNUMBER(F305),G305&lt;&gt;""),IF(F305&gt;DAY(EOMONTH(DATE(VALUE(RIGHT(G305,4)),VALUE(LEFT(G305,2)),1),0)),"Ese día no existe en el mes",DATE(VALUE(RIGHT(G305,4)),VALUE(LEFT(G305,2)),F305)),"")</f>
        <v/>
      </c>
    </row>
    <row r="306" ht="18" customHeight="1">
      <c r="A306" s="5" t="n"/>
      <c r="B306" s="5" t="n"/>
      <c r="C306" s="6">
        <f>IFERROR(INDEX(Productos!$B$2:$B$174,MATCH(B306,Productos!$A$2:$A$174,0)),"")</f>
        <v/>
      </c>
      <c r="D306" s="7">
        <f>IFERROR(INDEX(Productos!$C$2:$C$174,MATCH(B306,Productos!$A$2:$A$174,0)),"")</f>
        <v/>
      </c>
      <c r="E306" s="8" t="n"/>
      <c r="F306" s="8" t="n"/>
      <c r="G306" s="5" t="n"/>
      <c r="H306" s="9">
        <f>IF(AND(ISNUMBER(F306),G306&lt;&gt;""),IF(F306&gt;DAY(EOMONTH(DATE(VALUE(RIGHT(G306,4)),VALUE(LEFT(G306,2)),1),0)),"Ese día no existe en el mes",DATE(VALUE(RIGHT(G306,4)),VALUE(LEFT(G306,2)),F306)),"")</f>
        <v/>
      </c>
    </row>
    <row r="307" ht="18" customHeight="1">
      <c r="A307" s="5" t="n"/>
      <c r="B307" s="5" t="n"/>
      <c r="C307" s="6">
        <f>IFERROR(INDEX(Productos!$B$2:$B$174,MATCH(B307,Productos!$A$2:$A$174,0)),"")</f>
        <v/>
      </c>
      <c r="D307" s="7">
        <f>IFERROR(INDEX(Productos!$C$2:$C$174,MATCH(B307,Productos!$A$2:$A$174,0)),"")</f>
        <v/>
      </c>
      <c r="E307" s="8" t="n"/>
      <c r="F307" s="8" t="n"/>
      <c r="G307" s="5" t="n"/>
      <c r="H307" s="9">
        <f>IF(AND(ISNUMBER(F307),G307&lt;&gt;""),IF(F307&gt;DAY(EOMONTH(DATE(VALUE(RIGHT(G307,4)),VALUE(LEFT(G307,2)),1),0)),"Ese día no existe en el mes",DATE(VALUE(RIGHT(G307,4)),VALUE(LEFT(G307,2)),F307)),"")</f>
        <v/>
      </c>
    </row>
    <row r="308" ht="18" customHeight="1">
      <c r="A308" s="5" t="n"/>
      <c r="B308" s="5" t="n"/>
      <c r="C308" s="6">
        <f>IFERROR(INDEX(Productos!$B$2:$B$174,MATCH(B308,Productos!$A$2:$A$174,0)),"")</f>
        <v/>
      </c>
      <c r="D308" s="7">
        <f>IFERROR(INDEX(Productos!$C$2:$C$174,MATCH(B308,Productos!$A$2:$A$174,0)),"")</f>
        <v/>
      </c>
      <c r="E308" s="8" t="n"/>
      <c r="F308" s="8" t="n"/>
      <c r="G308" s="5" t="n"/>
      <c r="H308" s="9">
        <f>IF(AND(ISNUMBER(F308),G308&lt;&gt;""),IF(F308&gt;DAY(EOMONTH(DATE(VALUE(RIGHT(G308,4)),VALUE(LEFT(G308,2)),1),0)),"Ese día no existe en el mes",DATE(VALUE(RIGHT(G308,4)),VALUE(LEFT(G308,2)),F308)),"")</f>
        <v/>
      </c>
    </row>
    <row r="309" ht="18" customHeight="1">
      <c r="A309" s="5" t="n"/>
      <c r="B309" s="5" t="n"/>
      <c r="C309" s="6">
        <f>IFERROR(INDEX(Productos!$B$2:$B$174,MATCH(B309,Productos!$A$2:$A$174,0)),"")</f>
        <v/>
      </c>
      <c r="D309" s="7">
        <f>IFERROR(INDEX(Productos!$C$2:$C$174,MATCH(B309,Productos!$A$2:$A$174,0)),"")</f>
        <v/>
      </c>
      <c r="E309" s="8" t="n"/>
      <c r="F309" s="8" t="n"/>
      <c r="G309" s="5" t="n"/>
      <c r="H309" s="9">
        <f>IF(AND(ISNUMBER(F309),G309&lt;&gt;""),IF(F309&gt;DAY(EOMONTH(DATE(VALUE(RIGHT(G309,4)),VALUE(LEFT(G309,2)),1),0)),"Ese día no existe en el mes",DATE(VALUE(RIGHT(G309,4)),VALUE(LEFT(G309,2)),F309)),"")</f>
        <v/>
      </c>
    </row>
    <row r="310" ht="18" customHeight="1">
      <c r="A310" s="5" t="n"/>
      <c r="B310" s="5" t="n"/>
      <c r="C310" s="6">
        <f>IFERROR(INDEX(Productos!$B$2:$B$174,MATCH(B310,Productos!$A$2:$A$174,0)),"")</f>
        <v/>
      </c>
      <c r="D310" s="7">
        <f>IFERROR(INDEX(Productos!$C$2:$C$174,MATCH(B310,Productos!$A$2:$A$174,0)),"")</f>
        <v/>
      </c>
      <c r="E310" s="8" t="n"/>
      <c r="F310" s="8" t="n"/>
      <c r="G310" s="5" t="n"/>
      <c r="H310" s="9">
        <f>IF(AND(ISNUMBER(F310),G310&lt;&gt;""),IF(F310&gt;DAY(EOMONTH(DATE(VALUE(RIGHT(G310,4)),VALUE(LEFT(G310,2)),1),0)),"Ese día no existe en el mes",DATE(VALUE(RIGHT(G310,4)),VALUE(LEFT(G310,2)),F310)),"")</f>
        <v/>
      </c>
    </row>
    <row r="311" ht="18" customHeight="1">
      <c r="A311" s="5" t="n"/>
      <c r="B311" s="5" t="n"/>
      <c r="C311" s="6">
        <f>IFERROR(INDEX(Productos!$B$2:$B$174,MATCH(B311,Productos!$A$2:$A$174,0)),"")</f>
        <v/>
      </c>
      <c r="D311" s="7">
        <f>IFERROR(INDEX(Productos!$C$2:$C$174,MATCH(B311,Productos!$A$2:$A$174,0)),"")</f>
        <v/>
      </c>
      <c r="E311" s="8" t="n"/>
      <c r="F311" s="8" t="n"/>
      <c r="G311" s="5" t="n"/>
      <c r="H311" s="9">
        <f>IF(AND(ISNUMBER(F311),G311&lt;&gt;""),IF(F311&gt;DAY(EOMONTH(DATE(VALUE(RIGHT(G311,4)),VALUE(LEFT(G311,2)),1),0)),"Ese día no existe en el mes",DATE(VALUE(RIGHT(G311,4)),VALUE(LEFT(G311,2)),F311)),"")</f>
        <v/>
      </c>
    </row>
    <row r="312" ht="18" customHeight="1">
      <c r="A312" s="5" t="n"/>
      <c r="B312" s="5" t="n"/>
      <c r="C312" s="6">
        <f>IFERROR(INDEX(Productos!$B$2:$B$174,MATCH(B312,Productos!$A$2:$A$174,0)),"")</f>
        <v/>
      </c>
      <c r="D312" s="7">
        <f>IFERROR(INDEX(Productos!$C$2:$C$174,MATCH(B312,Productos!$A$2:$A$174,0)),"")</f>
        <v/>
      </c>
      <c r="E312" s="8" t="n"/>
      <c r="F312" s="8" t="n"/>
      <c r="G312" s="5" t="n"/>
      <c r="H312" s="9">
        <f>IF(AND(ISNUMBER(F312),G312&lt;&gt;""),IF(F312&gt;DAY(EOMONTH(DATE(VALUE(RIGHT(G312,4)),VALUE(LEFT(G312,2)),1),0)),"Ese día no existe en el mes",DATE(VALUE(RIGHT(G312,4)),VALUE(LEFT(G312,2)),F312)),"")</f>
        <v/>
      </c>
    </row>
    <row r="313" ht="18" customHeight="1">
      <c r="A313" s="5" t="n"/>
      <c r="B313" s="5" t="n"/>
      <c r="C313" s="6">
        <f>IFERROR(INDEX(Productos!$B$2:$B$174,MATCH(B313,Productos!$A$2:$A$174,0)),"")</f>
        <v/>
      </c>
      <c r="D313" s="7">
        <f>IFERROR(INDEX(Productos!$C$2:$C$174,MATCH(B313,Productos!$A$2:$A$174,0)),"")</f>
        <v/>
      </c>
      <c r="E313" s="8" t="n"/>
      <c r="F313" s="8" t="n"/>
      <c r="G313" s="5" t="n"/>
      <c r="H313" s="9">
        <f>IF(AND(ISNUMBER(F313),G313&lt;&gt;""),IF(F313&gt;DAY(EOMONTH(DATE(VALUE(RIGHT(G313,4)),VALUE(LEFT(G313,2)),1),0)),"Ese día no existe en el mes",DATE(VALUE(RIGHT(G313,4)),VALUE(LEFT(G313,2)),F313)),"")</f>
        <v/>
      </c>
    </row>
    <row r="314" ht="18" customHeight="1">
      <c r="A314" s="5" t="n"/>
      <c r="B314" s="5" t="n"/>
      <c r="C314" s="6">
        <f>IFERROR(INDEX(Productos!$B$2:$B$174,MATCH(B314,Productos!$A$2:$A$174,0)),"")</f>
        <v/>
      </c>
      <c r="D314" s="7">
        <f>IFERROR(INDEX(Productos!$C$2:$C$174,MATCH(B314,Productos!$A$2:$A$174,0)),"")</f>
        <v/>
      </c>
      <c r="E314" s="8" t="n"/>
      <c r="F314" s="8" t="n"/>
      <c r="G314" s="5" t="n"/>
      <c r="H314" s="9">
        <f>IF(AND(ISNUMBER(F314),G314&lt;&gt;""),IF(F314&gt;DAY(EOMONTH(DATE(VALUE(RIGHT(G314,4)),VALUE(LEFT(G314,2)),1),0)),"Ese día no existe en el mes",DATE(VALUE(RIGHT(G314,4)),VALUE(LEFT(G314,2)),F314)),"")</f>
        <v/>
      </c>
    </row>
    <row r="315" ht="18" customHeight="1">
      <c r="A315" s="5" t="n"/>
      <c r="B315" s="5" t="n"/>
      <c r="C315" s="6">
        <f>IFERROR(INDEX(Productos!$B$2:$B$174,MATCH(B315,Productos!$A$2:$A$174,0)),"")</f>
        <v/>
      </c>
      <c r="D315" s="7">
        <f>IFERROR(INDEX(Productos!$C$2:$C$174,MATCH(B315,Productos!$A$2:$A$174,0)),"")</f>
        <v/>
      </c>
      <c r="E315" s="8" t="n"/>
      <c r="F315" s="8" t="n"/>
      <c r="G315" s="5" t="n"/>
      <c r="H315" s="9">
        <f>IF(AND(ISNUMBER(F315),G315&lt;&gt;""),IF(F315&gt;DAY(EOMONTH(DATE(VALUE(RIGHT(G315,4)),VALUE(LEFT(G315,2)),1),0)),"Ese día no existe en el mes",DATE(VALUE(RIGHT(G315,4)),VALUE(LEFT(G315,2)),F315)),"")</f>
        <v/>
      </c>
    </row>
    <row r="316" ht="18" customHeight="1">
      <c r="A316" s="5" t="n"/>
      <c r="B316" s="5" t="n"/>
      <c r="C316" s="6">
        <f>IFERROR(INDEX(Productos!$B$2:$B$174,MATCH(B316,Productos!$A$2:$A$174,0)),"")</f>
        <v/>
      </c>
      <c r="D316" s="7">
        <f>IFERROR(INDEX(Productos!$C$2:$C$174,MATCH(B316,Productos!$A$2:$A$174,0)),"")</f>
        <v/>
      </c>
      <c r="E316" s="8" t="n"/>
      <c r="F316" s="8" t="n"/>
      <c r="G316" s="5" t="n"/>
      <c r="H316" s="9">
        <f>IF(AND(ISNUMBER(F316),G316&lt;&gt;""),IF(F316&gt;DAY(EOMONTH(DATE(VALUE(RIGHT(G316,4)),VALUE(LEFT(G316,2)),1),0)),"Ese día no existe en el mes",DATE(VALUE(RIGHT(G316,4)),VALUE(LEFT(G316,2)),F316)),"")</f>
        <v/>
      </c>
    </row>
    <row r="317" ht="18" customHeight="1">
      <c r="A317" s="5" t="n"/>
      <c r="B317" s="5" t="n"/>
      <c r="C317" s="6">
        <f>IFERROR(INDEX(Productos!$B$2:$B$174,MATCH(B317,Productos!$A$2:$A$174,0)),"")</f>
        <v/>
      </c>
      <c r="D317" s="7">
        <f>IFERROR(INDEX(Productos!$C$2:$C$174,MATCH(B317,Productos!$A$2:$A$174,0)),"")</f>
        <v/>
      </c>
      <c r="E317" s="8" t="n"/>
      <c r="F317" s="8" t="n"/>
      <c r="G317" s="5" t="n"/>
      <c r="H317" s="9">
        <f>IF(AND(ISNUMBER(F317),G317&lt;&gt;""),IF(F317&gt;DAY(EOMONTH(DATE(VALUE(RIGHT(G317,4)),VALUE(LEFT(G317,2)),1),0)),"Ese día no existe en el mes",DATE(VALUE(RIGHT(G317,4)),VALUE(LEFT(G317,2)),F317)),"")</f>
        <v/>
      </c>
    </row>
    <row r="318" ht="18" customHeight="1">
      <c r="A318" s="5" t="n"/>
      <c r="B318" s="5" t="n"/>
      <c r="C318" s="6">
        <f>IFERROR(INDEX(Productos!$B$2:$B$174,MATCH(B318,Productos!$A$2:$A$174,0)),"")</f>
        <v/>
      </c>
      <c r="D318" s="7">
        <f>IFERROR(INDEX(Productos!$C$2:$C$174,MATCH(B318,Productos!$A$2:$A$174,0)),"")</f>
        <v/>
      </c>
      <c r="E318" s="8" t="n"/>
      <c r="F318" s="8" t="n"/>
      <c r="G318" s="5" t="n"/>
      <c r="H318" s="9">
        <f>IF(AND(ISNUMBER(F318),G318&lt;&gt;""),IF(F318&gt;DAY(EOMONTH(DATE(VALUE(RIGHT(G318,4)),VALUE(LEFT(G318,2)),1),0)),"Ese día no existe en el mes",DATE(VALUE(RIGHT(G318,4)),VALUE(LEFT(G318,2)),F318)),"")</f>
        <v/>
      </c>
    </row>
    <row r="319" ht="18" customHeight="1">
      <c r="A319" s="5" t="n"/>
      <c r="B319" s="5" t="n"/>
      <c r="C319" s="6">
        <f>IFERROR(INDEX(Productos!$B$2:$B$174,MATCH(B319,Productos!$A$2:$A$174,0)),"")</f>
        <v/>
      </c>
      <c r="D319" s="7">
        <f>IFERROR(INDEX(Productos!$C$2:$C$174,MATCH(B319,Productos!$A$2:$A$174,0)),"")</f>
        <v/>
      </c>
      <c r="E319" s="8" t="n"/>
      <c r="F319" s="8" t="n"/>
      <c r="G319" s="5" t="n"/>
      <c r="H319" s="9">
        <f>IF(AND(ISNUMBER(F319),G319&lt;&gt;""),IF(F319&gt;DAY(EOMONTH(DATE(VALUE(RIGHT(G319,4)),VALUE(LEFT(G319,2)),1),0)),"Ese día no existe en el mes",DATE(VALUE(RIGHT(G319,4)),VALUE(LEFT(G319,2)),F319)),"")</f>
        <v/>
      </c>
    </row>
    <row r="320" ht="18" customHeight="1">
      <c r="A320" s="5" t="n"/>
      <c r="B320" s="5" t="n"/>
      <c r="C320" s="6">
        <f>IFERROR(INDEX(Productos!$B$2:$B$174,MATCH(B320,Productos!$A$2:$A$174,0)),"")</f>
        <v/>
      </c>
      <c r="D320" s="7">
        <f>IFERROR(INDEX(Productos!$C$2:$C$174,MATCH(B320,Productos!$A$2:$A$174,0)),"")</f>
        <v/>
      </c>
      <c r="E320" s="8" t="n"/>
      <c r="F320" s="8" t="n"/>
      <c r="G320" s="5" t="n"/>
      <c r="H320" s="9">
        <f>IF(AND(ISNUMBER(F320),G320&lt;&gt;""),IF(F320&gt;DAY(EOMONTH(DATE(VALUE(RIGHT(G320,4)),VALUE(LEFT(G320,2)),1),0)),"Ese día no existe en el mes",DATE(VALUE(RIGHT(G320,4)),VALUE(LEFT(G320,2)),F320)),"")</f>
        <v/>
      </c>
    </row>
    <row r="321" ht="18" customHeight="1">
      <c r="A321" s="5" t="n"/>
      <c r="B321" s="5" t="n"/>
      <c r="C321" s="6">
        <f>IFERROR(INDEX(Productos!$B$2:$B$174,MATCH(B321,Productos!$A$2:$A$174,0)),"")</f>
        <v/>
      </c>
      <c r="D321" s="7">
        <f>IFERROR(INDEX(Productos!$C$2:$C$174,MATCH(B321,Productos!$A$2:$A$174,0)),"")</f>
        <v/>
      </c>
      <c r="E321" s="8" t="n"/>
      <c r="F321" s="8" t="n"/>
      <c r="G321" s="5" t="n"/>
      <c r="H321" s="9">
        <f>IF(AND(ISNUMBER(F321),G321&lt;&gt;""),IF(F321&gt;DAY(EOMONTH(DATE(VALUE(RIGHT(G321,4)),VALUE(LEFT(G321,2)),1),0)),"Ese día no existe en el mes",DATE(VALUE(RIGHT(G321,4)),VALUE(LEFT(G321,2)),F321)),"")</f>
        <v/>
      </c>
    </row>
    <row r="322" ht="18" customHeight="1">
      <c r="A322" s="5" t="n"/>
      <c r="B322" s="5" t="n"/>
      <c r="C322" s="6">
        <f>IFERROR(INDEX(Productos!$B$2:$B$174,MATCH(B322,Productos!$A$2:$A$174,0)),"")</f>
        <v/>
      </c>
      <c r="D322" s="7">
        <f>IFERROR(INDEX(Productos!$C$2:$C$174,MATCH(B322,Productos!$A$2:$A$174,0)),"")</f>
        <v/>
      </c>
      <c r="E322" s="8" t="n"/>
      <c r="F322" s="8" t="n"/>
      <c r="G322" s="5" t="n"/>
      <c r="H322" s="9">
        <f>IF(AND(ISNUMBER(F322),G322&lt;&gt;""),IF(F322&gt;DAY(EOMONTH(DATE(VALUE(RIGHT(G322,4)),VALUE(LEFT(G322,2)),1),0)),"Ese día no existe en el mes",DATE(VALUE(RIGHT(G322,4)),VALUE(LEFT(G322,2)),F322)),"")</f>
        <v/>
      </c>
    </row>
    <row r="323" ht="18" customHeight="1">
      <c r="A323" s="5" t="n"/>
      <c r="B323" s="5" t="n"/>
      <c r="C323" s="6">
        <f>IFERROR(INDEX(Productos!$B$2:$B$174,MATCH(B323,Productos!$A$2:$A$174,0)),"")</f>
        <v/>
      </c>
      <c r="D323" s="7">
        <f>IFERROR(INDEX(Productos!$C$2:$C$174,MATCH(B323,Productos!$A$2:$A$174,0)),"")</f>
        <v/>
      </c>
      <c r="E323" s="8" t="n"/>
      <c r="F323" s="8" t="n"/>
      <c r="G323" s="5" t="n"/>
      <c r="H323" s="9">
        <f>IF(AND(ISNUMBER(F323),G323&lt;&gt;""),IF(F323&gt;DAY(EOMONTH(DATE(VALUE(RIGHT(G323,4)),VALUE(LEFT(G323,2)),1),0)),"Ese día no existe en el mes",DATE(VALUE(RIGHT(G323,4)),VALUE(LEFT(G323,2)),F323)),"")</f>
        <v/>
      </c>
    </row>
    <row r="324" ht="18" customHeight="1">
      <c r="A324" s="5" t="n"/>
      <c r="B324" s="5" t="n"/>
      <c r="C324" s="6">
        <f>IFERROR(INDEX(Productos!$B$2:$B$174,MATCH(B324,Productos!$A$2:$A$174,0)),"")</f>
        <v/>
      </c>
      <c r="D324" s="7">
        <f>IFERROR(INDEX(Productos!$C$2:$C$174,MATCH(B324,Productos!$A$2:$A$174,0)),"")</f>
        <v/>
      </c>
      <c r="E324" s="8" t="n"/>
      <c r="F324" s="8" t="n"/>
      <c r="G324" s="5" t="n"/>
      <c r="H324" s="9">
        <f>IF(AND(ISNUMBER(F324),G324&lt;&gt;""),IF(F324&gt;DAY(EOMONTH(DATE(VALUE(RIGHT(G324,4)),VALUE(LEFT(G324,2)),1),0)),"Ese día no existe en el mes",DATE(VALUE(RIGHT(G324,4)),VALUE(LEFT(G324,2)),F324)),"")</f>
        <v/>
      </c>
    </row>
    <row r="325" ht="18" customHeight="1">
      <c r="A325" s="5" t="n"/>
      <c r="B325" s="5" t="n"/>
      <c r="C325" s="6">
        <f>IFERROR(INDEX(Productos!$B$2:$B$174,MATCH(B325,Productos!$A$2:$A$174,0)),"")</f>
        <v/>
      </c>
      <c r="D325" s="7">
        <f>IFERROR(INDEX(Productos!$C$2:$C$174,MATCH(B325,Productos!$A$2:$A$174,0)),"")</f>
        <v/>
      </c>
      <c r="E325" s="8" t="n"/>
      <c r="F325" s="8" t="n"/>
      <c r="G325" s="5" t="n"/>
      <c r="H325" s="9">
        <f>IF(AND(ISNUMBER(F325),G325&lt;&gt;""),IF(F325&gt;DAY(EOMONTH(DATE(VALUE(RIGHT(G325,4)),VALUE(LEFT(G325,2)),1),0)),"Ese día no existe en el mes",DATE(VALUE(RIGHT(G325,4)),VALUE(LEFT(G325,2)),F325)),"")</f>
        <v/>
      </c>
    </row>
    <row r="326" ht="18" customHeight="1">
      <c r="A326" s="5" t="n"/>
      <c r="B326" s="5" t="n"/>
      <c r="C326" s="6">
        <f>IFERROR(INDEX(Productos!$B$2:$B$174,MATCH(B326,Productos!$A$2:$A$174,0)),"")</f>
        <v/>
      </c>
      <c r="D326" s="7">
        <f>IFERROR(INDEX(Productos!$C$2:$C$174,MATCH(B326,Productos!$A$2:$A$174,0)),"")</f>
        <v/>
      </c>
      <c r="E326" s="8" t="n"/>
      <c r="F326" s="8" t="n"/>
      <c r="G326" s="5" t="n"/>
      <c r="H326" s="9">
        <f>IF(AND(ISNUMBER(F326),G326&lt;&gt;""),IF(F326&gt;DAY(EOMONTH(DATE(VALUE(RIGHT(G326,4)),VALUE(LEFT(G326,2)),1),0)),"Ese día no existe en el mes",DATE(VALUE(RIGHT(G326,4)),VALUE(LEFT(G326,2)),F326)),"")</f>
        <v/>
      </c>
    </row>
    <row r="327" ht="18" customHeight="1">
      <c r="A327" s="5" t="n"/>
      <c r="B327" s="5" t="n"/>
      <c r="C327" s="6">
        <f>IFERROR(INDEX(Productos!$B$2:$B$174,MATCH(B327,Productos!$A$2:$A$174,0)),"")</f>
        <v/>
      </c>
      <c r="D327" s="7">
        <f>IFERROR(INDEX(Productos!$C$2:$C$174,MATCH(B327,Productos!$A$2:$A$174,0)),"")</f>
        <v/>
      </c>
      <c r="E327" s="8" t="n"/>
      <c r="F327" s="8" t="n"/>
      <c r="G327" s="5" t="n"/>
      <c r="H327" s="9">
        <f>IF(AND(ISNUMBER(F327),G327&lt;&gt;""),IF(F327&gt;DAY(EOMONTH(DATE(VALUE(RIGHT(G327,4)),VALUE(LEFT(G327,2)),1),0)),"Ese día no existe en el mes",DATE(VALUE(RIGHT(G327,4)),VALUE(LEFT(G327,2)),F327)),"")</f>
        <v/>
      </c>
    </row>
    <row r="328" ht="18" customHeight="1">
      <c r="A328" s="5" t="n"/>
      <c r="B328" s="5" t="n"/>
      <c r="C328" s="6">
        <f>IFERROR(INDEX(Productos!$B$2:$B$174,MATCH(B328,Productos!$A$2:$A$174,0)),"")</f>
        <v/>
      </c>
      <c r="D328" s="7">
        <f>IFERROR(INDEX(Productos!$C$2:$C$174,MATCH(B328,Productos!$A$2:$A$174,0)),"")</f>
        <v/>
      </c>
      <c r="E328" s="8" t="n"/>
      <c r="F328" s="8" t="n"/>
      <c r="G328" s="5" t="n"/>
      <c r="H328" s="9">
        <f>IF(AND(ISNUMBER(F328),G328&lt;&gt;""),IF(F328&gt;DAY(EOMONTH(DATE(VALUE(RIGHT(G328,4)),VALUE(LEFT(G328,2)),1),0)),"Ese día no existe en el mes",DATE(VALUE(RIGHT(G328,4)),VALUE(LEFT(G328,2)),F328)),"")</f>
        <v/>
      </c>
    </row>
    <row r="329" ht="18" customHeight="1">
      <c r="A329" s="5" t="n"/>
      <c r="B329" s="5" t="n"/>
      <c r="C329" s="6">
        <f>IFERROR(INDEX(Productos!$B$2:$B$174,MATCH(B329,Productos!$A$2:$A$174,0)),"")</f>
        <v/>
      </c>
      <c r="D329" s="7">
        <f>IFERROR(INDEX(Productos!$C$2:$C$174,MATCH(B329,Productos!$A$2:$A$174,0)),"")</f>
        <v/>
      </c>
      <c r="E329" s="8" t="n"/>
      <c r="F329" s="8" t="n"/>
      <c r="G329" s="5" t="n"/>
      <c r="H329" s="9">
        <f>IF(AND(ISNUMBER(F329),G329&lt;&gt;""),IF(F329&gt;DAY(EOMONTH(DATE(VALUE(RIGHT(G329,4)),VALUE(LEFT(G329,2)),1),0)),"Ese día no existe en el mes",DATE(VALUE(RIGHT(G329,4)),VALUE(LEFT(G329,2)),F329)),"")</f>
        <v/>
      </c>
    </row>
    <row r="330" ht="18" customHeight="1">
      <c r="A330" s="5" t="n"/>
      <c r="B330" s="5" t="n"/>
      <c r="C330" s="6">
        <f>IFERROR(INDEX(Productos!$B$2:$B$174,MATCH(B330,Productos!$A$2:$A$174,0)),"")</f>
        <v/>
      </c>
      <c r="D330" s="7">
        <f>IFERROR(INDEX(Productos!$C$2:$C$174,MATCH(B330,Productos!$A$2:$A$174,0)),"")</f>
        <v/>
      </c>
      <c r="E330" s="8" t="n"/>
      <c r="F330" s="8" t="n"/>
      <c r="G330" s="5" t="n"/>
      <c r="H330" s="9">
        <f>IF(AND(ISNUMBER(F330),G330&lt;&gt;""),IF(F330&gt;DAY(EOMONTH(DATE(VALUE(RIGHT(G330,4)),VALUE(LEFT(G330,2)),1),0)),"Ese día no existe en el mes",DATE(VALUE(RIGHT(G330,4)),VALUE(LEFT(G330,2)),F330)),"")</f>
        <v/>
      </c>
    </row>
    <row r="331" ht="18" customHeight="1">
      <c r="A331" s="5" t="n"/>
      <c r="B331" s="5" t="n"/>
      <c r="C331" s="6">
        <f>IFERROR(INDEX(Productos!$B$2:$B$174,MATCH(B331,Productos!$A$2:$A$174,0)),"")</f>
        <v/>
      </c>
      <c r="D331" s="7">
        <f>IFERROR(INDEX(Productos!$C$2:$C$174,MATCH(B331,Productos!$A$2:$A$174,0)),"")</f>
        <v/>
      </c>
      <c r="E331" s="8" t="n"/>
      <c r="F331" s="8" t="n"/>
      <c r="G331" s="5" t="n"/>
      <c r="H331" s="9">
        <f>IF(AND(ISNUMBER(F331),G331&lt;&gt;""),IF(F331&gt;DAY(EOMONTH(DATE(VALUE(RIGHT(G331,4)),VALUE(LEFT(G331,2)),1),0)),"Ese día no existe en el mes",DATE(VALUE(RIGHT(G331,4)),VALUE(LEFT(G331,2)),F331)),"")</f>
        <v/>
      </c>
    </row>
    <row r="332" ht="18" customHeight="1">
      <c r="A332" s="5" t="n"/>
      <c r="B332" s="5" t="n"/>
      <c r="C332" s="6">
        <f>IFERROR(INDEX(Productos!$B$2:$B$174,MATCH(B332,Productos!$A$2:$A$174,0)),"")</f>
        <v/>
      </c>
      <c r="D332" s="7">
        <f>IFERROR(INDEX(Productos!$C$2:$C$174,MATCH(B332,Productos!$A$2:$A$174,0)),"")</f>
        <v/>
      </c>
      <c r="E332" s="8" t="n"/>
      <c r="F332" s="8" t="n"/>
      <c r="G332" s="5" t="n"/>
      <c r="H332" s="9">
        <f>IF(AND(ISNUMBER(F332),G332&lt;&gt;""),IF(F332&gt;DAY(EOMONTH(DATE(VALUE(RIGHT(G332,4)),VALUE(LEFT(G332,2)),1),0)),"Ese día no existe en el mes",DATE(VALUE(RIGHT(G332,4)),VALUE(LEFT(G332,2)),F332)),"")</f>
        <v/>
      </c>
    </row>
    <row r="333" ht="18" customHeight="1">
      <c r="A333" s="5" t="n"/>
      <c r="B333" s="5" t="n"/>
      <c r="C333" s="6">
        <f>IFERROR(INDEX(Productos!$B$2:$B$174,MATCH(B333,Productos!$A$2:$A$174,0)),"")</f>
        <v/>
      </c>
      <c r="D333" s="7">
        <f>IFERROR(INDEX(Productos!$C$2:$C$174,MATCH(B333,Productos!$A$2:$A$174,0)),"")</f>
        <v/>
      </c>
      <c r="E333" s="8" t="n"/>
      <c r="F333" s="8" t="n"/>
      <c r="G333" s="5" t="n"/>
      <c r="H333" s="9">
        <f>IF(AND(ISNUMBER(F333),G333&lt;&gt;""),IF(F333&gt;DAY(EOMONTH(DATE(VALUE(RIGHT(G333,4)),VALUE(LEFT(G333,2)),1),0)),"Ese día no existe en el mes",DATE(VALUE(RIGHT(G333,4)),VALUE(LEFT(G333,2)),F333)),"")</f>
        <v/>
      </c>
    </row>
    <row r="334" ht="18" customHeight="1">
      <c r="A334" s="5" t="n"/>
      <c r="B334" s="5" t="n"/>
      <c r="C334" s="6">
        <f>IFERROR(INDEX(Productos!$B$2:$B$174,MATCH(B334,Productos!$A$2:$A$174,0)),"")</f>
        <v/>
      </c>
      <c r="D334" s="7">
        <f>IFERROR(INDEX(Productos!$C$2:$C$174,MATCH(B334,Productos!$A$2:$A$174,0)),"")</f>
        <v/>
      </c>
      <c r="E334" s="8" t="n"/>
      <c r="F334" s="8" t="n"/>
      <c r="G334" s="5" t="n"/>
      <c r="H334" s="9">
        <f>IF(AND(ISNUMBER(F334),G334&lt;&gt;""),IF(F334&gt;DAY(EOMONTH(DATE(VALUE(RIGHT(G334,4)),VALUE(LEFT(G334,2)),1),0)),"Ese día no existe en el mes",DATE(VALUE(RIGHT(G334,4)),VALUE(LEFT(G334,2)),F334)),"")</f>
        <v/>
      </c>
    </row>
    <row r="335" ht="18" customHeight="1">
      <c r="A335" s="5" t="n"/>
      <c r="B335" s="5" t="n"/>
      <c r="C335" s="6">
        <f>IFERROR(INDEX(Productos!$B$2:$B$174,MATCH(B335,Productos!$A$2:$A$174,0)),"")</f>
        <v/>
      </c>
      <c r="D335" s="7">
        <f>IFERROR(INDEX(Productos!$C$2:$C$174,MATCH(B335,Productos!$A$2:$A$174,0)),"")</f>
        <v/>
      </c>
      <c r="E335" s="8" t="n"/>
      <c r="F335" s="8" t="n"/>
      <c r="G335" s="5" t="n"/>
      <c r="H335" s="9">
        <f>IF(AND(ISNUMBER(F335),G335&lt;&gt;""),IF(F335&gt;DAY(EOMONTH(DATE(VALUE(RIGHT(G335,4)),VALUE(LEFT(G335,2)),1),0)),"Ese día no existe en el mes",DATE(VALUE(RIGHT(G335,4)),VALUE(LEFT(G335,2)),F335)),"")</f>
        <v/>
      </c>
    </row>
    <row r="336" ht="18" customHeight="1">
      <c r="A336" s="5" t="n"/>
      <c r="B336" s="5" t="n"/>
      <c r="C336" s="6">
        <f>IFERROR(INDEX(Productos!$B$2:$B$174,MATCH(B336,Productos!$A$2:$A$174,0)),"")</f>
        <v/>
      </c>
      <c r="D336" s="7">
        <f>IFERROR(INDEX(Productos!$C$2:$C$174,MATCH(B336,Productos!$A$2:$A$174,0)),"")</f>
        <v/>
      </c>
      <c r="E336" s="8" t="n"/>
      <c r="F336" s="8" t="n"/>
      <c r="G336" s="5" t="n"/>
      <c r="H336" s="9">
        <f>IF(AND(ISNUMBER(F336),G336&lt;&gt;""),IF(F336&gt;DAY(EOMONTH(DATE(VALUE(RIGHT(G336,4)),VALUE(LEFT(G336,2)),1),0)),"Ese día no existe en el mes",DATE(VALUE(RIGHT(G336,4)),VALUE(LEFT(G336,2)),F336)),"")</f>
        <v/>
      </c>
    </row>
    <row r="337" ht="18" customHeight="1">
      <c r="A337" s="5" t="n"/>
      <c r="B337" s="5" t="n"/>
      <c r="C337" s="6">
        <f>IFERROR(INDEX(Productos!$B$2:$B$174,MATCH(B337,Productos!$A$2:$A$174,0)),"")</f>
        <v/>
      </c>
      <c r="D337" s="7">
        <f>IFERROR(INDEX(Productos!$C$2:$C$174,MATCH(B337,Productos!$A$2:$A$174,0)),"")</f>
        <v/>
      </c>
      <c r="E337" s="8" t="n"/>
      <c r="F337" s="8" t="n"/>
      <c r="G337" s="5" t="n"/>
      <c r="H337" s="9">
        <f>IF(AND(ISNUMBER(F337),G337&lt;&gt;""),IF(F337&gt;DAY(EOMONTH(DATE(VALUE(RIGHT(G337,4)),VALUE(LEFT(G337,2)),1),0)),"Ese día no existe en el mes",DATE(VALUE(RIGHT(G337,4)),VALUE(LEFT(G337,2)),F337)),"")</f>
        <v/>
      </c>
    </row>
    <row r="338" ht="18" customHeight="1">
      <c r="A338" s="5" t="n"/>
      <c r="B338" s="5" t="n"/>
      <c r="C338" s="6">
        <f>IFERROR(INDEX(Productos!$B$2:$B$174,MATCH(B338,Productos!$A$2:$A$174,0)),"")</f>
        <v/>
      </c>
      <c r="D338" s="7">
        <f>IFERROR(INDEX(Productos!$C$2:$C$174,MATCH(B338,Productos!$A$2:$A$174,0)),"")</f>
        <v/>
      </c>
      <c r="E338" s="8" t="n"/>
      <c r="F338" s="8" t="n"/>
      <c r="G338" s="5" t="n"/>
      <c r="H338" s="9">
        <f>IF(AND(ISNUMBER(F338),G338&lt;&gt;""),IF(F338&gt;DAY(EOMONTH(DATE(VALUE(RIGHT(G338,4)),VALUE(LEFT(G338,2)),1),0)),"Ese día no existe en el mes",DATE(VALUE(RIGHT(G338,4)),VALUE(LEFT(G338,2)),F338)),"")</f>
        <v/>
      </c>
    </row>
    <row r="339" ht="18" customHeight="1">
      <c r="A339" s="5" t="n"/>
      <c r="B339" s="5" t="n"/>
      <c r="C339" s="6">
        <f>IFERROR(INDEX(Productos!$B$2:$B$174,MATCH(B339,Productos!$A$2:$A$174,0)),"")</f>
        <v/>
      </c>
      <c r="D339" s="7">
        <f>IFERROR(INDEX(Productos!$C$2:$C$174,MATCH(B339,Productos!$A$2:$A$174,0)),"")</f>
        <v/>
      </c>
      <c r="E339" s="8" t="n"/>
      <c r="F339" s="8" t="n"/>
      <c r="G339" s="5" t="n"/>
      <c r="H339" s="9">
        <f>IF(AND(ISNUMBER(F339),G339&lt;&gt;""),IF(F339&gt;DAY(EOMONTH(DATE(VALUE(RIGHT(G339,4)),VALUE(LEFT(G339,2)),1),0)),"Ese día no existe en el mes",DATE(VALUE(RIGHT(G339,4)),VALUE(LEFT(G339,2)),F339)),"")</f>
        <v/>
      </c>
    </row>
    <row r="340" ht="18" customHeight="1">
      <c r="A340" s="5" t="n"/>
      <c r="B340" s="5" t="n"/>
      <c r="C340" s="6">
        <f>IFERROR(INDEX(Productos!$B$2:$B$174,MATCH(B340,Productos!$A$2:$A$174,0)),"")</f>
        <v/>
      </c>
      <c r="D340" s="7">
        <f>IFERROR(INDEX(Productos!$C$2:$C$174,MATCH(B340,Productos!$A$2:$A$174,0)),"")</f>
        <v/>
      </c>
      <c r="E340" s="8" t="n"/>
      <c r="F340" s="8" t="n"/>
      <c r="G340" s="5" t="n"/>
      <c r="H340" s="9">
        <f>IF(AND(ISNUMBER(F340),G340&lt;&gt;""),IF(F340&gt;DAY(EOMONTH(DATE(VALUE(RIGHT(G340,4)),VALUE(LEFT(G340,2)),1),0)),"Ese día no existe en el mes",DATE(VALUE(RIGHT(G340,4)),VALUE(LEFT(G340,2)),F340)),"")</f>
        <v/>
      </c>
    </row>
    <row r="341" ht="18" customHeight="1">
      <c r="A341" s="5" t="n"/>
      <c r="B341" s="5" t="n"/>
      <c r="C341" s="6">
        <f>IFERROR(INDEX(Productos!$B$2:$B$174,MATCH(B341,Productos!$A$2:$A$174,0)),"")</f>
        <v/>
      </c>
      <c r="D341" s="7">
        <f>IFERROR(INDEX(Productos!$C$2:$C$174,MATCH(B341,Productos!$A$2:$A$174,0)),"")</f>
        <v/>
      </c>
      <c r="E341" s="8" t="n"/>
      <c r="F341" s="8" t="n"/>
      <c r="G341" s="5" t="n"/>
      <c r="H341" s="9">
        <f>IF(AND(ISNUMBER(F341),G341&lt;&gt;""),IF(F341&gt;DAY(EOMONTH(DATE(VALUE(RIGHT(G341,4)),VALUE(LEFT(G341,2)),1),0)),"Ese día no existe en el mes",DATE(VALUE(RIGHT(G341,4)),VALUE(LEFT(G341,2)),F341)),"")</f>
        <v/>
      </c>
    </row>
    <row r="342" ht="18" customHeight="1">
      <c r="A342" s="5" t="n"/>
      <c r="B342" s="5" t="n"/>
      <c r="C342" s="6">
        <f>IFERROR(INDEX(Productos!$B$2:$B$174,MATCH(B342,Productos!$A$2:$A$174,0)),"")</f>
        <v/>
      </c>
      <c r="D342" s="7">
        <f>IFERROR(INDEX(Productos!$C$2:$C$174,MATCH(B342,Productos!$A$2:$A$174,0)),"")</f>
        <v/>
      </c>
      <c r="E342" s="8" t="n"/>
      <c r="F342" s="8" t="n"/>
      <c r="G342" s="5" t="n"/>
      <c r="H342" s="9">
        <f>IF(AND(ISNUMBER(F342),G342&lt;&gt;""),IF(F342&gt;DAY(EOMONTH(DATE(VALUE(RIGHT(G342,4)),VALUE(LEFT(G342,2)),1),0)),"Ese día no existe en el mes",DATE(VALUE(RIGHT(G342,4)),VALUE(LEFT(G342,2)),F342)),"")</f>
        <v/>
      </c>
    </row>
    <row r="343" ht="18" customHeight="1">
      <c r="A343" s="5" t="n"/>
      <c r="B343" s="5" t="n"/>
      <c r="C343" s="6">
        <f>IFERROR(INDEX(Productos!$B$2:$B$174,MATCH(B343,Productos!$A$2:$A$174,0)),"")</f>
        <v/>
      </c>
      <c r="D343" s="7">
        <f>IFERROR(INDEX(Productos!$C$2:$C$174,MATCH(B343,Productos!$A$2:$A$174,0)),"")</f>
        <v/>
      </c>
      <c r="E343" s="8" t="n"/>
      <c r="F343" s="8" t="n"/>
      <c r="G343" s="5" t="n"/>
      <c r="H343" s="9">
        <f>IF(AND(ISNUMBER(F343),G343&lt;&gt;""),IF(F343&gt;DAY(EOMONTH(DATE(VALUE(RIGHT(G343,4)),VALUE(LEFT(G343,2)),1),0)),"Ese día no existe en el mes",DATE(VALUE(RIGHT(G343,4)),VALUE(LEFT(G343,2)),F343)),"")</f>
        <v/>
      </c>
    </row>
    <row r="344" ht="18" customHeight="1">
      <c r="A344" s="5" t="n"/>
      <c r="B344" s="5" t="n"/>
      <c r="C344" s="6">
        <f>IFERROR(INDEX(Productos!$B$2:$B$174,MATCH(B344,Productos!$A$2:$A$174,0)),"")</f>
        <v/>
      </c>
      <c r="D344" s="7">
        <f>IFERROR(INDEX(Productos!$C$2:$C$174,MATCH(B344,Productos!$A$2:$A$174,0)),"")</f>
        <v/>
      </c>
      <c r="E344" s="8" t="n"/>
      <c r="F344" s="8" t="n"/>
      <c r="G344" s="5" t="n"/>
      <c r="H344" s="9">
        <f>IF(AND(ISNUMBER(F344),G344&lt;&gt;""),IF(F344&gt;DAY(EOMONTH(DATE(VALUE(RIGHT(G344,4)),VALUE(LEFT(G344,2)),1),0)),"Ese día no existe en el mes",DATE(VALUE(RIGHT(G344,4)),VALUE(LEFT(G344,2)),F344)),"")</f>
        <v/>
      </c>
    </row>
    <row r="345" ht="18" customHeight="1">
      <c r="A345" s="5" t="n"/>
      <c r="B345" s="5" t="n"/>
      <c r="C345" s="6">
        <f>IFERROR(INDEX(Productos!$B$2:$B$174,MATCH(B345,Productos!$A$2:$A$174,0)),"")</f>
        <v/>
      </c>
      <c r="D345" s="7">
        <f>IFERROR(INDEX(Productos!$C$2:$C$174,MATCH(B345,Productos!$A$2:$A$174,0)),"")</f>
        <v/>
      </c>
      <c r="E345" s="8" t="n"/>
      <c r="F345" s="8" t="n"/>
      <c r="G345" s="5" t="n"/>
      <c r="H345" s="9">
        <f>IF(AND(ISNUMBER(F345),G345&lt;&gt;""),IF(F345&gt;DAY(EOMONTH(DATE(VALUE(RIGHT(G345,4)),VALUE(LEFT(G345,2)),1),0)),"Ese día no existe en el mes",DATE(VALUE(RIGHT(G345,4)),VALUE(LEFT(G345,2)),F345)),"")</f>
        <v/>
      </c>
    </row>
    <row r="346" ht="18" customHeight="1">
      <c r="A346" s="5" t="n"/>
      <c r="B346" s="5" t="n"/>
      <c r="C346" s="6">
        <f>IFERROR(INDEX(Productos!$B$2:$B$174,MATCH(B346,Productos!$A$2:$A$174,0)),"")</f>
        <v/>
      </c>
      <c r="D346" s="7">
        <f>IFERROR(INDEX(Productos!$C$2:$C$174,MATCH(B346,Productos!$A$2:$A$174,0)),"")</f>
        <v/>
      </c>
      <c r="E346" s="8" t="n"/>
      <c r="F346" s="8" t="n"/>
      <c r="G346" s="5" t="n"/>
      <c r="H346" s="9">
        <f>IF(AND(ISNUMBER(F346),G346&lt;&gt;""),IF(F346&gt;DAY(EOMONTH(DATE(VALUE(RIGHT(G346,4)),VALUE(LEFT(G346,2)),1),0)),"Ese día no existe en el mes",DATE(VALUE(RIGHT(G346,4)),VALUE(LEFT(G346,2)),F346)),"")</f>
        <v/>
      </c>
    </row>
    <row r="347" ht="18" customHeight="1">
      <c r="A347" s="5" t="n"/>
      <c r="B347" s="5" t="n"/>
      <c r="C347" s="6">
        <f>IFERROR(INDEX(Productos!$B$2:$B$174,MATCH(B347,Productos!$A$2:$A$174,0)),"")</f>
        <v/>
      </c>
      <c r="D347" s="7">
        <f>IFERROR(INDEX(Productos!$C$2:$C$174,MATCH(B347,Productos!$A$2:$A$174,0)),"")</f>
        <v/>
      </c>
      <c r="E347" s="8" t="n"/>
      <c r="F347" s="8" t="n"/>
      <c r="G347" s="5" t="n"/>
      <c r="H347" s="9">
        <f>IF(AND(ISNUMBER(F347),G347&lt;&gt;""),IF(F347&gt;DAY(EOMONTH(DATE(VALUE(RIGHT(G347,4)),VALUE(LEFT(G347,2)),1),0)),"Ese día no existe en el mes",DATE(VALUE(RIGHT(G347,4)),VALUE(LEFT(G347,2)),F347)),"")</f>
        <v/>
      </c>
    </row>
    <row r="348" ht="18" customHeight="1">
      <c r="A348" s="5" t="n"/>
      <c r="B348" s="5" t="n"/>
      <c r="C348" s="6">
        <f>IFERROR(INDEX(Productos!$B$2:$B$174,MATCH(B348,Productos!$A$2:$A$174,0)),"")</f>
        <v/>
      </c>
      <c r="D348" s="7">
        <f>IFERROR(INDEX(Productos!$C$2:$C$174,MATCH(B348,Productos!$A$2:$A$174,0)),"")</f>
        <v/>
      </c>
      <c r="E348" s="8" t="n"/>
      <c r="F348" s="8" t="n"/>
      <c r="G348" s="5" t="n"/>
      <c r="H348" s="9">
        <f>IF(AND(ISNUMBER(F348),G348&lt;&gt;""),IF(F348&gt;DAY(EOMONTH(DATE(VALUE(RIGHT(G348,4)),VALUE(LEFT(G348,2)),1),0)),"Ese día no existe en el mes",DATE(VALUE(RIGHT(G348,4)),VALUE(LEFT(G348,2)),F348)),"")</f>
        <v/>
      </c>
    </row>
    <row r="349" ht="18" customHeight="1">
      <c r="A349" s="5" t="n"/>
      <c r="B349" s="5" t="n"/>
      <c r="C349" s="6">
        <f>IFERROR(INDEX(Productos!$B$2:$B$174,MATCH(B349,Productos!$A$2:$A$174,0)),"")</f>
        <v/>
      </c>
      <c r="D349" s="7">
        <f>IFERROR(INDEX(Productos!$C$2:$C$174,MATCH(B349,Productos!$A$2:$A$174,0)),"")</f>
        <v/>
      </c>
      <c r="E349" s="8" t="n"/>
      <c r="F349" s="8" t="n"/>
      <c r="G349" s="5" t="n"/>
      <c r="H349" s="9">
        <f>IF(AND(ISNUMBER(F349),G349&lt;&gt;""),IF(F349&gt;DAY(EOMONTH(DATE(VALUE(RIGHT(G349,4)),VALUE(LEFT(G349,2)),1),0)),"Ese día no existe en el mes",DATE(VALUE(RIGHT(G349,4)),VALUE(LEFT(G349,2)),F349)),"")</f>
        <v/>
      </c>
    </row>
    <row r="350" ht="18" customHeight="1">
      <c r="A350" s="5" t="n"/>
      <c r="B350" s="5" t="n"/>
      <c r="C350" s="6">
        <f>IFERROR(INDEX(Productos!$B$2:$B$174,MATCH(B350,Productos!$A$2:$A$174,0)),"")</f>
        <v/>
      </c>
      <c r="D350" s="7">
        <f>IFERROR(INDEX(Productos!$C$2:$C$174,MATCH(B350,Productos!$A$2:$A$174,0)),"")</f>
        <v/>
      </c>
      <c r="E350" s="8" t="n"/>
      <c r="F350" s="8" t="n"/>
      <c r="G350" s="5" t="n"/>
      <c r="H350" s="9">
        <f>IF(AND(ISNUMBER(F350),G350&lt;&gt;""),IF(F350&gt;DAY(EOMONTH(DATE(VALUE(RIGHT(G350,4)),VALUE(LEFT(G350,2)),1),0)),"Ese día no existe en el mes",DATE(VALUE(RIGHT(G350,4)),VALUE(LEFT(G350,2)),F350)),"")</f>
        <v/>
      </c>
    </row>
    <row r="351" ht="18" customHeight="1">
      <c r="A351" s="5" t="n"/>
      <c r="B351" s="5" t="n"/>
      <c r="C351" s="6">
        <f>IFERROR(INDEX(Productos!$B$2:$B$174,MATCH(B351,Productos!$A$2:$A$174,0)),"")</f>
        <v/>
      </c>
      <c r="D351" s="7">
        <f>IFERROR(INDEX(Productos!$C$2:$C$174,MATCH(B351,Productos!$A$2:$A$174,0)),"")</f>
        <v/>
      </c>
      <c r="E351" s="8" t="n"/>
      <c r="F351" s="8" t="n"/>
      <c r="G351" s="5" t="n"/>
      <c r="H351" s="9">
        <f>IF(AND(ISNUMBER(F351),G351&lt;&gt;""),IF(F351&gt;DAY(EOMONTH(DATE(VALUE(RIGHT(G351,4)),VALUE(LEFT(G351,2)),1),0)),"Ese día no existe en el mes",DATE(VALUE(RIGHT(G351,4)),VALUE(LEFT(G351,2)),F351)),"")</f>
        <v/>
      </c>
    </row>
    <row r="352" ht="18" customHeight="1">
      <c r="A352" s="5" t="n"/>
      <c r="B352" s="5" t="n"/>
      <c r="C352" s="6">
        <f>IFERROR(INDEX(Productos!$B$2:$B$174,MATCH(B352,Productos!$A$2:$A$174,0)),"")</f>
        <v/>
      </c>
      <c r="D352" s="7">
        <f>IFERROR(INDEX(Productos!$C$2:$C$174,MATCH(B352,Productos!$A$2:$A$174,0)),"")</f>
        <v/>
      </c>
      <c r="E352" s="8" t="n"/>
      <c r="F352" s="8" t="n"/>
      <c r="G352" s="5" t="n"/>
      <c r="H352" s="9">
        <f>IF(AND(ISNUMBER(F352),G352&lt;&gt;""),IF(F352&gt;DAY(EOMONTH(DATE(VALUE(RIGHT(G352,4)),VALUE(LEFT(G352,2)),1),0)),"Ese día no existe en el mes",DATE(VALUE(RIGHT(G352,4)),VALUE(LEFT(G352,2)),F352)),"")</f>
        <v/>
      </c>
    </row>
    <row r="353" ht="18" customHeight="1">
      <c r="A353" s="5" t="n"/>
      <c r="B353" s="5" t="n"/>
      <c r="C353" s="6">
        <f>IFERROR(INDEX(Productos!$B$2:$B$174,MATCH(B353,Productos!$A$2:$A$174,0)),"")</f>
        <v/>
      </c>
      <c r="D353" s="7">
        <f>IFERROR(INDEX(Productos!$C$2:$C$174,MATCH(B353,Productos!$A$2:$A$174,0)),"")</f>
        <v/>
      </c>
      <c r="E353" s="8" t="n"/>
      <c r="F353" s="8" t="n"/>
      <c r="G353" s="5" t="n"/>
      <c r="H353" s="9">
        <f>IF(AND(ISNUMBER(F353),G353&lt;&gt;""),IF(F353&gt;DAY(EOMONTH(DATE(VALUE(RIGHT(G353,4)),VALUE(LEFT(G353,2)),1),0)),"Ese día no existe en el mes",DATE(VALUE(RIGHT(G353,4)),VALUE(LEFT(G353,2)),F353)),"")</f>
        <v/>
      </c>
    </row>
    <row r="354" ht="18" customHeight="1">
      <c r="A354" s="5" t="n"/>
      <c r="B354" s="5" t="n"/>
      <c r="C354" s="6">
        <f>IFERROR(INDEX(Productos!$B$2:$B$174,MATCH(B354,Productos!$A$2:$A$174,0)),"")</f>
        <v/>
      </c>
      <c r="D354" s="7">
        <f>IFERROR(INDEX(Productos!$C$2:$C$174,MATCH(B354,Productos!$A$2:$A$174,0)),"")</f>
        <v/>
      </c>
      <c r="E354" s="8" t="n"/>
      <c r="F354" s="8" t="n"/>
      <c r="G354" s="5" t="n"/>
      <c r="H354" s="9">
        <f>IF(AND(ISNUMBER(F354),G354&lt;&gt;""),IF(F354&gt;DAY(EOMONTH(DATE(VALUE(RIGHT(G354,4)),VALUE(LEFT(G354,2)),1),0)),"Ese día no existe en el mes",DATE(VALUE(RIGHT(G354,4)),VALUE(LEFT(G354,2)),F354)),"")</f>
        <v/>
      </c>
    </row>
    <row r="355" ht="18" customHeight="1">
      <c r="A355" s="5" t="n"/>
      <c r="B355" s="5" t="n"/>
      <c r="C355" s="6">
        <f>IFERROR(INDEX(Productos!$B$2:$B$174,MATCH(B355,Productos!$A$2:$A$174,0)),"")</f>
        <v/>
      </c>
      <c r="D355" s="7">
        <f>IFERROR(INDEX(Productos!$C$2:$C$174,MATCH(B355,Productos!$A$2:$A$174,0)),"")</f>
        <v/>
      </c>
      <c r="E355" s="8" t="n"/>
      <c r="F355" s="8" t="n"/>
      <c r="G355" s="5" t="n"/>
      <c r="H355" s="9">
        <f>IF(AND(ISNUMBER(F355),G355&lt;&gt;""),IF(F355&gt;DAY(EOMONTH(DATE(VALUE(RIGHT(G355,4)),VALUE(LEFT(G355,2)),1),0)),"Ese día no existe en el mes",DATE(VALUE(RIGHT(G355,4)),VALUE(LEFT(G355,2)),F355)),"")</f>
        <v/>
      </c>
    </row>
    <row r="356" ht="18" customHeight="1">
      <c r="A356" s="5" t="n"/>
      <c r="B356" s="5" t="n"/>
      <c r="C356" s="6">
        <f>IFERROR(INDEX(Productos!$B$2:$B$174,MATCH(B356,Productos!$A$2:$A$174,0)),"")</f>
        <v/>
      </c>
      <c r="D356" s="7">
        <f>IFERROR(INDEX(Productos!$C$2:$C$174,MATCH(B356,Productos!$A$2:$A$174,0)),"")</f>
        <v/>
      </c>
      <c r="E356" s="8" t="n"/>
      <c r="F356" s="8" t="n"/>
      <c r="G356" s="5" t="n"/>
      <c r="H356" s="9">
        <f>IF(AND(ISNUMBER(F356),G356&lt;&gt;""),IF(F356&gt;DAY(EOMONTH(DATE(VALUE(RIGHT(G356,4)),VALUE(LEFT(G356,2)),1),0)),"Ese día no existe en el mes",DATE(VALUE(RIGHT(G356,4)),VALUE(LEFT(G356,2)),F356)),"")</f>
        <v/>
      </c>
    </row>
    <row r="357" ht="18" customHeight="1">
      <c r="A357" s="5" t="n"/>
      <c r="B357" s="5" t="n"/>
      <c r="C357" s="6">
        <f>IFERROR(INDEX(Productos!$B$2:$B$174,MATCH(B357,Productos!$A$2:$A$174,0)),"")</f>
        <v/>
      </c>
      <c r="D357" s="7">
        <f>IFERROR(INDEX(Productos!$C$2:$C$174,MATCH(B357,Productos!$A$2:$A$174,0)),"")</f>
        <v/>
      </c>
      <c r="E357" s="8" t="n"/>
      <c r="F357" s="8" t="n"/>
      <c r="G357" s="5" t="n"/>
      <c r="H357" s="9">
        <f>IF(AND(ISNUMBER(F357),G357&lt;&gt;""),IF(F357&gt;DAY(EOMONTH(DATE(VALUE(RIGHT(G357,4)),VALUE(LEFT(G357,2)),1),0)),"Ese día no existe en el mes",DATE(VALUE(RIGHT(G357,4)),VALUE(LEFT(G357,2)),F357)),"")</f>
        <v/>
      </c>
    </row>
    <row r="358" ht="18" customHeight="1">
      <c r="A358" s="5" t="n"/>
      <c r="B358" s="5" t="n"/>
      <c r="C358" s="6">
        <f>IFERROR(INDEX(Productos!$B$2:$B$174,MATCH(B358,Productos!$A$2:$A$174,0)),"")</f>
        <v/>
      </c>
      <c r="D358" s="7">
        <f>IFERROR(INDEX(Productos!$C$2:$C$174,MATCH(B358,Productos!$A$2:$A$174,0)),"")</f>
        <v/>
      </c>
      <c r="E358" s="8" t="n"/>
      <c r="F358" s="8" t="n"/>
      <c r="G358" s="5" t="n"/>
      <c r="H358" s="9">
        <f>IF(AND(ISNUMBER(F358),G358&lt;&gt;""),IF(F358&gt;DAY(EOMONTH(DATE(VALUE(RIGHT(G358,4)),VALUE(LEFT(G358,2)),1),0)),"Ese día no existe en el mes",DATE(VALUE(RIGHT(G358,4)),VALUE(LEFT(G358,2)),F358)),"")</f>
        <v/>
      </c>
    </row>
    <row r="359" ht="18" customHeight="1">
      <c r="A359" s="5" t="n"/>
      <c r="B359" s="5" t="n"/>
      <c r="C359" s="6">
        <f>IFERROR(INDEX(Productos!$B$2:$B$174,MATCH(B359,Productos!$A$2:$A$174,0)),"")</f>
        <v/>
      </c>
      <c r="D359" s="7">
        <f>IFERROR(INDEX(Productos!$C$2:$C$174,MATCH(B359,Productos!$A$2:$A$174,0)),"")</f>
        <v/>
      </c>
      <c r="E359" s="8" t="n"/>
      <c r="F359" s="8" t="n"/>
      <c r="G359" s="5" t="n"/>
      <c r="H359" s="9">
        <f>IF(AND(ISNUMBER(F359),G359&lt;&gt;""),IF(F359&gt;DAY(EOMONTH(DATE(VALUE(RIGHT(G359,4)),VALUE(LEFT(G359,2)),1),0)),"Ese día no existe en el mes",DATE(VALUE(RIGHT(G359,4)),VALUE(LEFT(G359,2)),F359)),"")</f>
        <v/>
      </c>
    </row>
    <row r="360" ht="18" customHeight="1">
      <c r="A360" s="5" t="n"/>
      <c r="B360" s="5" t="n"/>
      <c r="C360" s="6">
        <f>IFERROR(INDEX(Productos!$B$2:$B$174,MATCH(B360,Productos!$A$2:$A$174,0)),"")</f>
        <v/>
      </c>
      <c r="D360" s="7">
        <f>IFERROR(INDEX(Productos!$C$2:$C$174,MATCH(B360,Productos!$A$2:$A$174,0)),"")</f>
        <v/>
      </c>
      <c r="E360" s="8" t="n"/>
      <c r="F360" s="8" t="n"/>
      <c r="G360" s="5" t="n"/>
      <c r="H360" s="9">
        <f>IF(AND(ISNUMBER(F360),G360&lt;&gt;""),IF(F360&gt;DAY(EOMONTH(DATE(VALUE(RIGHT(G360,4)),VALUE(LEFT(G360,2)),1),0)),"Ese día no existe en el mes",DATE(VALUE(RIGHT(G360,4)),VALUE(LEFT(G360,2)),F360)),"")</f>
        <v/>
      </c>
    </row>
    <row r="361" ht="18" customHeight="1">
      <c r="A361" s="5" t="n"/>
      <c r="B361" s="5" t="n"/>
      <c r="C361" s="6">
        <f>IFERROR(INDEX(Productos!$B$2:$B$174,MATCH(B361,Productos!$A$2:$A$174,0)),"")</f>
        <v/>
      </c>
      <c r="D361" s="7">
        <f>IFERROR(INDEX(Productos!$C$2:$C$174,MATCH(B361,Productos!$A$2:$A$174,0)),"")</f>
        <v/>
      </c>
      <c r="E361" s="8" t="n"/>
      <c r="F361" s="8" t="n"/>
      <c r="G361" s="5" t="n"/>
      <c r="H361" s="9">
        <f>IF(AND(ISNUMBER(F361),G361&lt;&gt;""),IF(F361&gt;DAY(EOMONTH(DATE(VALUE(RIGHT(G361,4)),VALUE(LEFT(G361,2)),1),0)),"Ese día no existe en el mes",DATE(VALUE(RIGHT(G361,4)),VALUE(LEFT(G361,2)),F361)),"")</f>
        <v/>
      </c>
    </row>
    <row r="362" ht="18" customHeight="1">
      <c r="A362" s="5" t="n"/>
      <c r="B362" s="5" t="n"/>
      <c r="C362" s="6">
        <f>IFERROR(INDEX(Productos!$B$2:$B$174,MATCH(B362,Productos!$A$2:$A$174,0)),"")</f>
        <v/>
      </c>
      <c r="D362" s="7">
        <f>IFERROR(INDEX(Productos!$C$2:$C$174,MATCH(B362,Productos!$A$2:$A$174,0)),"")</f>
        <v/>
      </c>
      <c r="E362" s="8" t="n"/>
      <c r="F362" s="8" t="n"/>
      <c r="G362" s="5" t="n"/>
      <c r="H362" s="9">
        <f>IF(AND(ISNUMBER(F362),G362&lt;&gt;""),IF(F362&gt;DAY(EOMONTH(DATE(VALUE(RIGHT(G362,4)),VALUE(LEFT(G362,2)),1),0)),"Ese día no existe en el mes",DATE(VALUE(RIGHT(G362,4)),VALUE(LEFT(G362,2)),F362)),"")</f>
        <v/>
      </c>
    </row>
    <row r="363" ht="18" customHeight="1">
      <c r="A363" s="5" t="n"/>
      <c r="B363" s="5" t="n"/>
      <c r="C363" s="6">
        <f>IFERROR(INDEX(Productos!$B$2:$B$174,MATCH(B363,Productos!$A$2:$A$174,0)),"")</f>
        <v/>
      </c>
      <c r="D363" s="7">
        <f>IFERROR(INDEX(Productos!$C$2:$C$174,MATCH(B363,Productos!$A$2:$A$174,0)),"")</f>
        <v/>
      </c>
      <c r="E363" s="8" t="n"/>
      <c r="F363" s="8" t="n"/>
      <c r="G363" s="5" t="n"/>
      <c r="H363" s="9">
        <f>IF(AND(ISNUMBER(F363),G363&lt;&gt;""),IF(F363&gt;DAY(EOMONTH(DATE(VALUE(RIGHT(G363,4)),VALUE(LEFT(G363,2)),1),0)),"Ese día no existe en el mes",DATE(VALUE(RIGHT(G363,4)),VALUE(LEFT(G363,2)),F363)),"")</f>
        <v/>
      </c>
    </row>
    <row r="364" ht="18" customHeight="1">
      <c r="A364" s="5" t="n"/>
      <c r="B364" s="5" t="n"/>
      <c r="C364" s="6">
        <f>IFERROR(INDEX(Productos!$B$2:$B$174,MATCH(B364,Productos!$A$2:$A$174,0)),"")</f>
        <v/>
      </c>
      <c r="D364" s="7">
        <f>IFERROR(INDEX(Productos!$C$2:$C$174,MATCH(B364,Productos!$A$2:$A$174,0)),"")</f>
        <v/>
      </c>
      <c r="E364" s="8" t="n"/>
      <c r="F364" s="8" t="n"/>
      <c r="G364" s="5" t="n"/>
      <c r="H364" s="9">
        <f>IF(AND(ISNUMBER(F364),G364&lt;&gt;""),IF(F364&gt;DAY(EOMONTH(DATE(VALUE(RIGHT(G364,4)),VALUE(LEFT(G364,2)),1),0)),"Ese día no existe en el mes",DATE(VALUE(RIGHT(G364,4)),VALUE(LEFT(G364,2)),F364)),"")</f>
        <v/>
      </c>
    </row>
    <row r="365" ht="18" customHeight="1">
      <c r="A365" s="5" t="n"/>
      <c r="B365" s="5" t="n"/>
      <c r="C365" s="6">
        <f>IFERROR(INDEX(Productos!$B$2:$B$174,MATCH(B365,Productos!$A$2:$A$174,0)),"")</f>
        <v/>
      </c>
      <c r="D365" s="7">
        <f>IFERROR(INDEX(Productos!$C$2:$C$174,MATCH(B365,Productos!$A$2:$A$174,0)),"")</f>
        <v/>
      </c>
      <c r="E365" s="8" t="n"/>
      <c r="F365" s="8" t="n"/>
      <c r="G365" s="5" t="n"/>
      <c r="H365" s="9">
        <f>IF(AND(ISNUMBER(F365),G365&lt;&gt;""),IF(F365&gt;DAY(EOMONTH(DATE(VALUE(RIGHT(G365,4)),VALUE(LEFT(G365,2)),1),0)),"Ese día no existe en el mes",DATE(VALUE(RIGHT(G365,4)),VALUE(LEFT(G365,2)),F365)),"")</f>
        <v/>
      </c>
    </row>
    <row r="366" ht="18" customHeight="1">
      <c r="A366" s="5" t="n"/>
      <c r="B366" s="5" t="n"/>
      <c r="C366" s="6">
        <f>IFERROR(INDEX(Productos!$B$2:$B$174,MATCH(B366,Productos!$A$2:$A$174,0)),"")</f>
        <v/>
      </c>
      <c r="D366" s="7">
        <f>IFERROR(INDEX(Productos!$C$2:$C$174,MATCH(B366,Productos!$A$2:$A$174,0)),"")</f>
        <v/>
      </c>
      <c r="E366" s="8" t="n"/>
      <c r="F366" s="8" t="n"/>
      <c r="G366" s="5" t="n"/>
      <c r="H366" s="9">
        <f>IF(AND(ISNUMBER(F366),G366&lt;&gt;""),IF(F366&gt;DAY(EOMONTH(DATE(VALUE(RIGHT(G366,4)),VALUE(LEFT(G366,2)),1),0)),"Ese día no existe en el mes",DATE(VALUE(RIGHT(G366,4)),VALUE(LEFT(G366,2)),F366)),"")</f>
        <v/>
      </c>
    </row>
    <row r="367" ht="18" customHeight="1">
      <c r="A367" s="5" t="n"/>
      <c r="B367" s="5" t="n"/>
      <c r="C367" s="6">
        <f>IFERROR(INDEX(Productos!$B$2:$B$174,MATCH(B367,Productos!$A$2:$A$174,0)),"")</f>
        <v/>
      </c>
      <c r="D367" s="7">
        <f>IFERROR(INDEX(Productos!$C$2:$C$174,MATCH(B367,Productos!$A$2:$A$174,0)),"")</f>
        <v/>
      </c>
      <c r="E367" s="8" t="n"/>
      <c r="F367" s="8" t="n"/>
      <c r="G367" s="5" t="n"/>
      <c r="H367" s="9">
        <f>IF(AND(ISNUMBER(F367),G367&lt;&gt;""),IF(F367&gt;DAY(EOMONTH(DATE(VALUE(RIGHT(G367,4)),VALUE(LEFT(G367,2)),1),0)),"Ese día no existe en el mes",DATE(VALUE(RIGHT(G367,4)),VALUE(LEFT(G367,2)),F367)),"")</f>
        <v/>
      </c>
    </row>
    <row r="368" ht="18" customHeight="1">
      <c r="A368" s="5" t="n"/>
      <c r="B368" s="5" t="n"/>
      <c r="C368" s="6">
        <f>IFERROR(INDEX(Productos!$B$2:$B$174,MATCH(B368,Productos!$A$2:$A$174,0)),"")</f>
        <v/>
      </c>
      <c r="D368" s="7">
        <f>IFERROR(INDEX(Productos!$C$2:$C$174,MATCH(B368,Productos!$A$2:$A$174,0)),"")</f>
        <v/>
      </c>
      <c r="E368" s="8" t="n"/>
      <c r="F368" s="8" t="n"/>
      <c r="G368" s="5" t="n"/>
      <c r="H368" s="9">
        <f>IF(AND(ISNUMBER(F368),G368&lt;&gt;""),IF(F368&gt;DAY(EOMONTH(DATE(VALUE(RIGHT(G368,4)),VALUE(LEFT(G368,2)),1),0)),"Ese día no existe en el mes",DATE(VALUE(RIGHT(G368,4)),VALUE(LEFT(G368,2)),F368)),"")</f>
        <v/>
      </c>
    </row>
    <row r="369" ht="18" customHeight="1">
      <c r="A369" s="5" t="n"/>
      <c r="B369" s="5" t="n"/>
      <c r="C369" s="6">
        <f>IFERROR(INDEX(Productos!$B$2:$B$174,MATCH(B369,Productos!$A$2:$A$174,0)),"")</f>
        <v/>
      </c>
      <c r="D369" s="7">
        <f>IFERROR(INDEX(Productos!$C$2:$C$174,MATCH(B369,Productos!$A$2:$A$174,0)),"")</f>
        <v/>
      </c>
      <c r="E369" s="8" t="n"/>
      <c r="F369" s="8" t="n"/>
      <c r="G369" s="5" t="n"/>
      <c r="H369" s="9">
        <f>IF(AND(ISNUMBER(F369),G369&lt;&gt;""),IF(F369&gt;DAY(EOMONTH(DATE(VALUE(RIGHT(G369,4)),VALUE(LEFT(G369,2)),1),0)),"Ese día no existe en el mes",DATE(VALUE(RIGHT(G369,4)),VALUE(LEFT(G369,2)),F369)),"")</f>
        <v/>
      </c>
    </row>
    <row r="370" ht="18" customHeight="1">
      <c r="A370" s="5" t="n"/>
      <c r="B370" s="5" t="n"/>
      <c r="C370" s="6">
        <f>IFERROR(INDEX(Productos!$B$2:$B$174,MATCH(B370,Productos!$A$2:$A$174,0)),"")</f>
        <v/>
      </c>
      <c r="D370" s="7">
        <f>IFERROR(INDEX(Productos!$C$2:$C$174,MATCH(B370,Productos!$A$2:$A$174,0)),"")</f>
        <v/>
      </c>
      <c r="E370" s="8" t="n"/>
      <c r="F370" s="8" t="n"/>
      <c r="G370" s="5" t="n"/>
      <c r="H370" s="9">
        <f>IF(AND(ISNUMBER(F370),G370&lt;&gt;""),IF(F370&gt;DAY(EOMONTH(DATE(VALUE(RIGHT(G370,4)),VALUE(LEFT(G370,2)),1),0)),"Ese día no existe en el mes",DATE(VALUE(RIGHT(G370,4)),VALUE(LEFT(G370,2)),F370)),"")</f>
        <v/>
      </c>
    </row>
    <row r="371" ht="18" customHeight="1">
      <c r="A371" s="5" t="n"/>
      <c r="B371" s="5" t="n"/>
      <c r="C371" s="6">
        <f>IFERROR(INDEX(Productos!$B$2:$B$174,MATCH(B371,Productos!$A$2:$A$174,0)),"")</f>
        <v/>
      </c>
      <c r="D371" s="7">
        <f>IFERROR(INDEX(Productos!$C$2:$C$174,MATCH(B371,Productos!$A$2:$A$174,0)),"")</f>
        <v/>
      </c>
      <c r="E371" s="8" t="n"/>
      <c r="F371" s="8" t="n"/>
      <c r="G371" s="5" t="n"/>
      <c r="H371" s="9">
        <f>IF(AND(ISNUMBER(F371),G371&lt;&gt;""),IF(F371&gt;DAY(EOMONTH(DATE(VALUE(RIGHT(G371,4)),VALUE(LEFT(G371,2)),1),0)),"Ese día no existe en el mes",DATE(VALUE(RIGHT(G371,4)),VALUE(LEFT(G371,2)),F371)),"")</f>
        <v/>
      </c>
    </row>
    <row r="372" ht="18" customHeight="1">
      <c r="A372" s="5" t="n"/>
      <c r="B372" s="5" t="n"/>
      <c r="C372" s="6">
        <f>IFERROR(INDEX(Productos!$B$2:$B$174,MATCH(B372,Productos!$A$2:$A$174,0)),"")</f>
        <v/>
      </c>
      <c r="D372" s="7">
        <f>IFERROR(INDEX(Productos!$C$2:$C$174,MATCH(B372,Productos!$A$2:$A$174,0)),"")</f>
        <v/>
      </c>
      <c r="E372" s="8" t="n"/>
      <c r="F372" s="8" t="n"/>
      <c r="G372" s="5" t="n"/>
      <c r="H372" s="9">
        <f>IF(AND(ISNUMBER(F372),G372&lt;&gt;""),IF(F372&gt;DAY(EOMONTH(DATE(VALUE(RIGHT(G372,4)),VALUE(LEFT(G372,2)),1),0)),"Ese día no existe en el mes",DATE(VALUE(RIGHT(G372,4)),VALUE(LEFT(G372,2)),F372)),"")</f>
        <v/>
      </c>
    </row>
    <row r="373" ht="18" customHeight="1">
      <c r="A373" s="5" t="n"/>
      <c r="B373" s="5" t="n"/>
      <c r="C373" s="6">
        <f>IFERROR(INDEX(Productos!$B$2:$B$174,MATCH(B373,Productos!$A$2:$A$174,0)),"")</f>
        <v/>
      </c>
      <c r="D373" s="7">
        <f>IFERROR(INDEX(Productos!$C$2:$C$174,MATCH(B373,Productos!$A$2:$A$174,0)),"")</f>
        <v/>
      </c>
      <c r="E373" s="8" t="n"/>
      <c r="F373" s="8" t="n"/>
      <c r="G373" s="5" t="n"/>
      <c r="H373" s="9">
        <f>IF(AND(ISNUMBER(F373),G373&lt;&gt;""),IF(F373&gt;DAY(EOMONTH(DATE(VALUE(RIGHT(G373,4)),VALUE(LEFT(G373,2)),1),0)),"Ese día no existe en el mes",DATE(VALUE(RIGHT(G373,4)),VALUE(LEFT(G373,2)),F373)),"")</f>
        <v/>
      </c>
    </row>
    <row r="374" ht="18" customHeight="1">
      <c r="A374" s="5" t="n"/>
      <c r="B374" s="5" t="n"/>
      <c r="C374" s="6">
        <f>IFERROR(INDEX(Productos!$B$2:$B$174,MATCH(B374,Productos!$A$2:$A$174,0)),"")</f>
        <v/>
      </c>
      <c r="D374" s="7">
        <f>IFERROR(INDEX(Productos!$C$2:$C$174,MATCH(B374,Productos!$A$2:$A$174,0)),"")</f>
        <v/>
      </c>
      <c r="E374" s="8" t="n"/>
      <c r="F374" s="8" t="n"/>
      <c r="G374" s="5" t="n"/>
      <c r="H374" s="9">
        <f>IF(AND(ISNUMBER(F374),G374&lt;&gt;""),IF(F374&gt;DAY(EOMONTH(DATE(VALUE(RIGHT(G374,4)),VALUE(LEFT(G374,2)),1),0)),"Ese día no existe en el mes",DATE(VALUE(RIGHT(G374,4)),VALUE(LEFT(G374,2)),F374)),"")</f>
        <v/>
      </c>
    </row>
    <row r="375" ht="18" customHeight="1">
      <c r="A375" s="5" t="n"/>
      <c r="B375" s="5" t="n"/>
      <c r="C375" s="6">
        <f>IFERROR(INDEX(Productos!$B$2:$B$174,MATCH(B375,Productos!$A$2:$A$174,0)),"")</f>
        <v/>
      </c>
      <c r="D375" s="7">
        <f>IFERROR(INDEX(Productos!$C$2:$C$174,MATCH(B375,Productos!$A$2:$A$174,0)),"")</f>
        <v/>
      </c>
      <c r="E375" s="8" t="n"/>
      <c r="F375" s="8" t="n"/>
      <c r="G375" s="5" t="n"/>
      <c r="H375" s="9">
        <f>IF(AND(ISNUMBER(F375),G375&lt;&gt;""),IF(F375&gt;DAY(EOMONTH(DATE(VALUE(RIGHT(G375,4)),VALUE(LEFT(G375,2)),1),0)),"Ese día no existe en el mes",DATE(VALUE(RIGHT(G375,4)),VALUE(LEFT(G375,2)),F375)),"")</f>
        <v/>
      </c>
    </row>
    <row r="376" ht="18" customHeight="1">
      <c r="A376" s="5" t="n"/>
      <c r="B376" s="5" t="n"/>
      <c r="C376" s="6">
        <f>IFERROR(INDEX(Productos!$B$2:$B$174,MATCH(B376,Productos!$A$2:$A$174,0)),"")</f>
        <v/>
      </c>
      <c r="D376" s="7">
        <f>IFERROR(INDEX(Productos!$C$2:$C$174,MATCH(B376,Productos!$A$2:$A$174,0)),"")</f>
        <v/>
      </c>
      <c r="E376" s="8" t="n"/>
      <c r="F376" s="8" t="n"/>
      <c r="G376" s="5" t="n"/>
      <c r="H376" s="9">
        <f>IF(AND(ISNUMBER(F376),G376&lt;&gt;""),IF(F376&gt;DAY(EOMONTH(DATE(VALUE(RIGHT(G376,4)),VALUE(LEFT(G376,2)),1),0)),"Ese día no existe en el mes",DATE(VALUE(RIGHT(G376,4)),VALUE(LEFT(G376,2)),F376)),"")</f>
        <v/>
      </c>
    </row>
    <row r="377" ht="18" customHeight="1">
      <c r="A377" s="5" t="n"/>
      <c r="B377" s="5" t="n"/>
      <c r="C377" s="6">
        <f>IFERROR(INDEX(Productos!$B$2:$B$174,MATCH(B377,Productos!$A$2:$A$174,0)),"")</f>
        <v/>
      </c>
      <c r="D377" s="7">
        <f>IFERROR(INDEX(Productos!$C$2:$C$174,MATCH(B377,Productos!$A$2:$A$174,0)),"")</f>
        <v/>
      </c>
      <c r="E377" s="8" t="n"/>
      <c r="F377" s="8" t="n"/>
      <c r="G377" s="5" t="n"/>
      <c r="H377" s="9">
        <f>IF(AND(ISNUMBER(F377),G377&lt;&gt;""),IF(F377&gt;DAY(EOMONTH(DATE(VALUE(RIGHT(G377,4)),VALUE(LEFT(G377,2)),1),0)),"Ese día no existe en el mes",DATE(VALUE(RIGHT(G377,4)),VALUE(LEFT(G377,2)),F377)),"")</f>
        <v/>
      </c>
    </row>
    <row r="378" ht="18" customHeight="1">
      <c r="A378" s="5" t="n"/>
      <c r="B378" s="5" t="n"/>
      <c r="C378" s="6">
        <f>IFERROR(INDEX(Productos!$B$2:$B$174,MATCH(B378,Productos!$A$2:$A$174,0)),"")</f>
        <v/>
      </c>
      <c r="D378" s="7">
        <f>IFERROR(INDEX(Productos!$C$2:$C$174,MATCH(B378,Productos!$A$2:$A$174,0)),"")</f>
        <v/>
      </c>
      <c r="E378" s="8" t="n"/>
      <c r="F378" s="8" t="n"/>
      <c r="G378" s="5" t="n"/>
      <c r="H378" s="9">
        <f>IF(AND(ISNUMBER(F378),G378&lt;&gt;""),IF(F378&gt;DAY(EOMONTH(DATE(VALUE(RIGHT(G378,4)),VALUE(LEFT(G378,2)),1),0)),"Ese día no existe en el mes",DATE(VALUE(RIGHT(G378,4)),VALUE(LEFT(G378,2)),F378)),"")</f>
        <v/>
      </c>
    </row>
    <row r="379" ht="18" customHeight="1">
      <c r="A379" s="5" t="n"/>
      <c r="B379" s="5" t="n"/>
      <c r="C379" s="6">
        <f>IFERROR(INDEX(Productos!$B$2:$B$174,MATCH(B379,Productos!$A$2:$A$174,0)),"")</f>
        <v/>
      </c>
      <c r="D379" s="7">
        <f>IFERROR(INDEX(Productos!$C$2:$C$174,MATCH(B379,Productos!$A$2:$A$174,0)),"")</f>
        <v/>
      </c>
      <c r="E379" s="8" t="n"/>
      <c r="F379" s="8" t="n"/>
      <c r="G379" s="5" t="n"/>
      <c r="H379" s="9">
        <f>IF(AND(ISNUMBER(F379),G379&lt;&gt;""),IF(F379&gt;DAY(EOMONTH(DATE(VALUE(RIGHT(G379,4)),VALUE(LEFT(G379,2)),1),0)),"Ese día no existe en el mes",DATE(VALUE(RIGHT(G379,4)),VALUE(LEFT(G379,2)),F379)),"")</f>
        <v/>
      </c>
    </row>
    <row r="380" ht="18" customHeight="1">
      <c r="A380" s="5" t="n"/>
      <c r="B380" s="5" t="n"/>
      <c r="C380" s="6">
        <f>IFERROR(INDEX(Productos!$B$2:$B$174,MATCH(B380,Productos!$A$2:$A$174,0)),"")</f>
        <v/>
      </c>
      <c r="D380" s="7">
        <f>IFERROR(INDEX(Productos!$C$2:$C$174,MATCH(B380,Productos!$A$2:$A$174,0)),"")</f>
        <v/>
      </c>
      <c r="E380" s="8" t="n"/>
      <c r="F380" s="8" t="n"/>
      <c r="G380" s="5" t="n"/>
      <c r="H380" s="9">
        <f>IF(AND(ISNUMBER(F380),G380&lt;&gt;""),IF(F380&gt;DAY(EOMONTH(DATE(VALUE(RIGHT(G380,4)),VALUE(LEFT(G380,2)),1),0)),"Ese día no existe en el mes",DATE(VALUE(RIGHT(G380,4)),VALUE(LEFT(G380,2)),F380)),"")</f>
        <v/>
      </c>
    </row>
    <row r="381" ht="18" customHeight="1">
      <c r="A381" s="5" t="n"/>
      <c r="B381" s="5" t="n"/>
      <c r="C381" s="6">
        <f>IFERROR(INDEX(Productos!$B$2:$B$174,MATCH(B381,Productos!$A$2:$A$174,0)),"")</f>
        <v/>
      </c>
      <c r="D381" s="7">
        <f>IFERROR(INDEX(Productos!$C$2:$C$174,MATCH(B381,Productos!$A$2:$A$174,0)),"")</f>
        <v/>
      </c>
      <c r="E381" s="8" t="n"/>
      <c r="F381" s="8" t="n"/>
      <c r="G381" s="5" t="n"/>
      <c r="H381" s="9">
        <f>IF(AND(ISNUMBER(F381),G381&lt;&gt;""),IF(F381&gt;DAY(EOMONTH(DATE(VALUE(RIGHT(G381,4)),VALUE(LEFT(G381,2)),1),0)),"Ese día no existe en el mes",DATE(VALUE(RIGHT(G381,4)),VALUE(LEFT(G381,2)),F381)),"")</f>
        <v/>
      </c>
    </row>
    <row r="382" ht="18" customHeight="1">
      <c r="A382" s="5" t="n"/>
      <c r="B382" s="5" t="n"/>
      <c r="C382" s="6">
        <f>IFERROR(INDEX(Productos!$B$2:$B$174,MATCH(B382,Productos!$A$2:$A$174,0)),"")</f>
        <v/>
      </c>
      <c r="D382" s="7">
        <f>IFERROR(INDEX(Productos!$C$2:$C$174,MATCH(B382,Productos!$A$2:$A$174,0)),"")</f>
        <v/>
      </c>
      <c r="E382" s="8" t="n"/>
      <c r="F382" s="8" t="n"/>
      <c r="G382" s="5" t="n"/>
      <c r="H382" s="9">
        <f>IF(AND(ISNUMBER(F382),G382&lt;&gt;""),IF(F382&gt;DAY(EOMONTH(DATE(VALUE(RIGHT(G382,4)),VALUE(LEFT(G382,2)),1),0)),"Ese día no existe en el mes",DATE(VALUE(RIGHT(G382,4)),VALUE(LEFT(G382,2)),F382)),"")</f>
        <v/>
      </c>
    </row>
    <row r="383" ht="18" customHeight="1">
      <c r="A383" s="5" t="n"/>
      <c r="B383" s="5" t="n"/>
      <c r="C383" s="6">
        <f>IFERROR(INDEX(Productos!$B$2:$B$174,MATCH(B383,Productos!$A$2:$A$174,0)),"")</f>
        <v/>
      </c>
      <c r="D383" s="7">
        <f>IFERROR(INDEX(Productos!$C$2:$C$174,MATCH(B383,Productos!$A$2:$A$174,0)),"")</f>
        <v/>
      </c>
      <c r="E383" s="8" t="n"/>
      <c r="F383" s="8" t="n"/>
      <c r="G383" s="5" t="n"/>
      <c r="H383" s="9">
        <f>IF(AND(ISNUMBER(F383),G383&lt;&gt;""),IF(F383&gt;DAY(EOMONTH(DATE(VALUE(RIGHT(G383,4)),VALUE(LEFT(G383,2)),1),0)),"Ese día no existe en el mes",DATE(VALUE(RIGHT(G383,4)),VALUE(LEFT(G383,2)),F383)),"")</f>
        <v/>
      </c>
    </row>
    <row r="384" ht="18" customHeight="1">
      <c r="A384" s="5" t="n"/>
      <c r="B384" s="5" t="n"/>
      <c r="C384" s="6">
        <f>IFERROR(INDEX(Productos!$B$2:$B$174,MATCH(B384,Productos!$A$2:$A$174,0)),"")</f>
        <v/>
      </c>
      <c r="D384" s="7">
        <f>IFERROR(INDEX(Productos!$C$2:$C$174,MATCH(B384,Productos!$A$2:$A$174,0)),"")</f>
        <v/>
      </c>
      <c r="E384" s="8" t="n"/>
      <c r="F384" s="8" t="n"/>
      <c r="G384" s="5" t="n"/>
      <c r="H384" s="9">
        <f>IF(AND(ISNUMBER(F384),G384&lt;&gt;""),IF(F384&gt;DAY(EOMONTH(DATE(VALUE(RIGHT(G384,4)),VALUE(LEFT(G384,2)),1),0)),"Ese día no existe en el mes",DATE(VALUE(RIGHT(G384,4)),VALUE(LEFT(G384,2)),F384)),"")</f>
        <v/>
      </c>
    </row>
    <row r="385" ht="18" customHeight="1">
      <c r="A385" s="5" t="n"/>
      <c r="B385" s="5" t="n"/>
      <c r="C385" s="6">
        <f>IFERROR(INDEX(Productos!$B$2:$B$174,MATCH(B385,Productos!$A$2:$A$174,0)),"")</f>
        <v/>
      </c>
      <c r="D385" s="7">
        <f>IFERROR(INDEX(Productos!$C$2:$C$174,MATCH(B385,Productos!$A$2:$A$174,0)),"")</f>
        <v/>
      </c>
      <c r="E385" s="8" t="n"/>
      <c r="F385" s="8" t="n"/>
      <c r="G385" s="5" t="n"/>
      <c r="H385" s="9">
        <f>IF(AND(ISNUMBER(F385),G385&lt;&gt;""),IF(F385&gt;DAY(EOMONTH(DATE(VALUE(RIGHT(G385,4)),VALUE(LEFT(G385,2)),1),0)),"Ese día no existe en el mes",DATE(VALUE(RIGHT(G385,4)),VALUE(LEFT(G385,2)),F385)),"")</f>
        <v/>
      </c>
    </row>
    <row r="386" ht="18" customHeight="1">
      <c r="A386" s="5" t="n"/>
      <c r="B386" s="5" t="n"/>
      <c r="C386" s="6">
        <f>IFERROR(INDEX(Productos!$B$2:$B$174,MATCH(B386,Productos!$A$2:$A$174,0)),"")</f>
        <v/>
      </c>
      <c r="D386" s="7">
        <f>IFERROR(INDEX(Productos!$C$2:$C$174,MATCH(B386,Productos!$A$2:$A$174,0)),"")</f>
        <v/>
      </c>
      <c r="E386" s="8" t="n"/>
      <c r="F386" s="8" t="n"/>
      <c r="G386" s="5" t="n"/>
      <c r="H386" s="9">
        <f>IF(AND(ISNUMBER(F386),G386&lt;&gt;""),IF(F386&gt;DAY(EOMONTH(DATE(VALUE(RIGHT(G386,4)),VALUE(LEFT(G386,2)),1),0)),"Ese día no existe en el mes",DATE(VALUE(RIGHT(G386,4)),VALUE(LEFT(G386,2)),F386)),"")</f>
        <v/>
      </c>
    </row>
    <row r="387" ht="18" customHeight="1">
      <c r="A387" s="5" t="n"/>
      <c r="B387" s="5" t="n"/>
      <c r="C387" s="6">
        <f>IFERROR(INDEX(Productos!$B$2:$B$174,MATCH(B387,Productos!$A$2:$A$174,0)),"")</f>
        <v/>
      </c>
      <c r="D387" s="7">
        <f>IFERROR(INDEX(Productos!$C$2:$C$174,MATCH(B387,Productos!$A$2:$A$174,0)),"")</f>
        <v/>
      </c>
      <c r="E387" s="8" t="n"/>
      <c r="F387" s="8" t="n"/>
      <c r="G387" s="5" t="n"/>
      <c r="H387" s="9">
        <f>IF(AND(ISNUMBER(F387),G387&lt;&gt;""),IF(F387&gt;DAY(EOMONTH(DATE(VALUE(RIGHT(G387,4)),VALUE(LEFT(G387,2)),1),0)),"Ese día no existe en el mes",DATE(VALUE(RIGHT(G387,4)),VALUE(LEFT(G387,2)),F387)),"")</f>
        <v/>
      </c>
    </row>
    <row r="388" ht="18" customHeight="1">
      <c r="A388" s="5" t="n"/>
      <c r="B388" s="5" t="n"/>
      <c r="C388" s="6">
        <f>IFERROR(INDEX(Productos!$B$2:$B$174,MATCH(B388,Productos!$A$2:$A$174,0)),"")</f>
        <v/>
      </c>
      <c r="D388" s="7">
        <f>IFERROR(INDEX(Productos!$C$2:$C$174,MATCH(B388,Productos!$A$2:$A$174,0)),"")</f>
        <v/>
      </c>
      <c r="E388" s="8" t="n"/>
      <c r="F388" s="8" t="n"/>
      <c r="G388" s="5" t="n"/>
      <c r="H388" s="9">
        <f>IF(AND(ISNUMBER(F388),G388&lt;&gt;""),IF(F388&gt;DAY(EOMONTH(DATE(VALUE(RIGHT(G388,4)),VALUE(LEFT(G388,2)),1),0)),"Ese día no existe en el mes",DATE(VALUE(RIGHT(G388,4)),VALUE(LEFT(G388,2)),F388)),"")</f>
        <v/>
      </c>
    </row>
    <row r="389" ht="18" customHeight="1">
      <c r="A389" s="5" t="n"/>
      <c r="B389" s="5" t="n"/>
      <c r="C389" s="6">
        <f>IFERROR(INDEX(Productos!$B$2:$B$174,MATCH(B389,Productos!$A$2:$A$174,0)),"")</f>
        <v/>
      </c>
      <c r="D389" s="7">
        <f>IFERROR(INDEX(Productos!$C$2:$C$174,MATCH(B389,Productos!$A$2:$A$174,0)),"")</f>
        <v/>
      </c>
      <c r="E389" s="8" t="n"/>
      <c r="F389" s="8" t="n"/>
      <c r="G389" s="5" t="n"/>
      <c r="H389" s="9">
        <f>IF(AND(ISNUMBER(F389),G389&lt;&gt;""),IF(F389&gt;DAY(EOMONTH(DATE(VALUE(RIGHT(G389,4)),VALUE(LEFT(G389,2)),1),0)),"Ese día no existe en el mes",DATE(VALUE(RIGHT(G389,4)),VALUE(LEFT(G389,2)),F389)),"")</f>
        <v/>
      </c>
    </row>
    <row r="390" ht="18" customHeight="1">
      <c r="A390" s="5" t="n"/>
      <c r="B390" s="5" t="n"/>
      <c r="C390" s="6">
        <f>IFERROR(INDEX(Productos!$B$2:$B$174,MATCH(B390,Productos!$A$2:$A$174,0)),"")</f>
        <v/>
      </c>
      <c r="D390" s="7">
        <f>IFERROR(INDEX(Productos!$C$2:$C$174,MATCH(B390,Productos!$A$2:$A$174,0)),"")</f>
        <v/>
      </c>
      <c r="E390" s="8" t="n"/>
      <c r="F390" s="8" t="n"/>
      <c r="G390" s="5" t="n"/>
      <c r="H390" s="9">
        <f>IF(AND(ISNUMBER(F390),G390&lt;&gt;""),IF(F390&gt;DAY(EOMONTH(DATE(VALUE(RIGHT(G390,4)),VALUE(LEFT(G390,2)),1),0)),"Ese día no existe en el mes",DATE(VALUE(RIGHT(G390,4)),VALUE(LEFT(G390,2)),F390)),"")</f>
        <v/>
      </c>
    </row>
    <row r="391" ht="18" customHeight="1">
      <c r="A391" s="5" t="n"/>
      <c r="B391" s="5" t="n"/>
      <c r="C391" s="6">
        <f>IFERROR(INDEX(Productos!$B$2:$B$174,MATCH(B391,Productos!$A$2:$A$174,0)),"")</f>
        <v/>
      </c>
      <c r="D391" s="7">
        <f>IFERROR(INDEX(Productos!$C$2:$C$174,MATCH(B391,Productos!$A$2:$A$174,0)),"")</f>
        <v/>
      </c>
      <c r="E391" s="8" t="n"/>
      <c r="F391" s="8" t="n"/>
      <c r="G391" s="5" t="n"/>
      <c r="H391" s="9">
        <f>IF(AND(ISNUMBER(F391),G391&lt;&gt;""),IF(F391&gt;DAY(EOMONTH(DATE(VALUE(RIGHT(G391,4)),VALUE(LEFT(G391,2)),1),0)),"Ese día no existe en el mes",DATE(VALUE(RIGHT(G391,4)),VALUE(LEFT(G391,2)),F391)),"")</f>
        <v/>
      </c>
    </row>
    <row r="392" ht="18" customHeight="1">
      <c r="A392" s="5" t="n"/>
      <c r="B392" s="5" t="n"/>
      <c r="C392" s="6">
        <f>IFERROR(INDEX(Productos!$B$2:$B$174,MATCH(B392,Productos!$A$2:$A$174,0)),"")</f>
        <v/>
      </c>
      <c r="D392" s="7">
        <f>IFERROR(INDEX(Productos!$C$2:$C$174,MATCH(B392,Productos!$A$2:$A$174,0)),"")</f>
        <v/>
      </c>
      <c r="E392" s="8" t="n"/>
      <c r="F392" s="8" t="n"/>
      <c r="G392" s="5" t="n"/>
      <c r="H392" s="9">
        <f>IF(AND(ISNUMBER(F392),G392&lt;&gt;""),IF(F392&gt;DAY(EOMONTH(DATE(VALUE(RIGHT(G392,4)),VALUE(LEFT(G392,2)),1),0)),"Ese día no existe en el mes",DATE(VALUE(RIGHT(G392,4)),VALUE(LEFT(G392,2)),F392)),"")</f>
        <v/>
      </c>
    </row>
    <row r="393" ht="18" customHeight="1">
      <c r="A393" s="5" t="n"/>
      <c r="B393" s="5" t="n"/>
      <c r="C393" s="6">
        <f>IFERROR(INDEX(Productos!$B$2:$B$174,MATCH(B393,Productos!$A$2:$A$174,0)),"")</f>
        <v/>
      </c>
      <c r="D393" s="7">
        <f>IFERROR(INDEX(Productos!$C$2:$C$174,MATCH(B393,Productos!$A$2:$A$174,0)),"")</f>
        <v/>
      </c>
      <c r="E393" s="8" t="n"/>
      <c r="F393" s="8" t="n"/>
      <c r="G393" s="5" t="n"/>
      <c r="H393" s="9">
        <f>IF(AND(ISNUMBER(F393),G393&lt;&gt;""),IF(F393&gt;DAY(EOMONTH(DATE(VALUE(RIGHT(G393,4)),VALUE(LEFT(G393,2)),1),0)),"Ese día no existe en el mes",DATE(VALUE(RIGHT(G393,4)),VALUE(LEFT(G393,2)),F393)),"")</f>
        <v/>
      </c>
    </row>
    <row r="394" ht="18" customHeight="1">
      <c r="A394" s="5" t="n"/>
      <c r="B394" s="5" t="n"/>
      <c r="C394" s="6">
        <f>IFERROR(INDEX(Productos!$B$2:$B$174,MATCH(B394,Productos!$A$2:$A$174,0)),"")</f>
        <v/>
      </c>
      <c r="D394" s="7">
        <f>IFERROR(INDEX(Productos!$C$2:$C$174,MATCH(B394,Productos!$A$2:$A$174,0)),"")</f>
        <v/>
      </c>
      <c r="E394" s="8" t="n"/>
      <c r="F394" s="8" t="n"/>
      <c r="G394" s="5" t="n"/>
      <c r="H394" s="9">
        <f>IF(AND(ISNUMBER(F394),G394&lt;&gt;""),IF(F394&gt;DAY(EOMONTH(DATE(VALUE(RIGHT(G394,4)),VALUE(LEFT(G394,2)),1),0)),"Ese día no existe en el mes",DATE(VALUE(RIGHT(G394,4)),VALUE(LEFT(G394,2)),F394)),"")</f>
        <v/>
      </c>
    </row>
    <row r="395" ht="18" customHeight="1">
      <c r="A395" s="5" t="n"/>
      <c r="B395" s="5" t="n"/>
      <c r="C395" s="6">
        <f>IFERROR(INDEX(Productos!$B$2:$B$174,MATCH(B395,Productos!$A$2:$A$174,0)),"")</f>
        <v/>
      </c>
      <c r="D395" s="7">
        <f>IFERROR(INDEX(Productos!$C$2:$C$174,MATCH(B395,Productos!$A$2:$A$174,0)),"")</f>
        <v/>
      </c>
      <c r="E395" s="8" t="n"/>
      <c r="F395" s="8" t="n"/>
      <c r="G395" s="5" t="n"/>
      <c r="H395" s="9">
        <f>IF(AND(ISNUMBER(F395),G395&lt;&gt;""),IF(F395&gt;DAY(EOMONTH(DATE(VALUE(RIGHT(G395,4)),VALUE(LEFT(G395,2)),1),0)),"Ese día no existe en el mes",DATE(VALUE(RIGHT(G395,4)),VALUE(LEFT(G395,2)),F395)),"")</f>
        <v/>
      </c>
    </row>
    <row r="396" ht="18" customHeight="1">
      <c r="A396" s="5" t="n"/>
      <c r="B396" s="5" t="n"/>
      <c r="C396" s="6">
        <f>IFERROR(INDEX(Productos!$B$2:$B$174,MATCH(B396,Productos!$A$2:$A$174,0)),"")</f>
        <v/>
      </c>
      <c r="D396" s="7">
        <f>IFERROR(INDEX(Productos!$C$2:$C$174,MATCH(B396,Productos!$A$2:$A$174,0)),"")</f>
        <v/>
      </c>
      <c r="E396" s="8" t="n"/>
      <c r="F396" s="8" t="n"/>
      <c r="G396" s="5" t="n"/>
      <c r="H396" s="9">
        <f>IF(AND(ISNUMBER(F396),G396&lt;&gt;""),IF(F396&gt;DAY(EOMONTH(DATE(VALUE(RIGHT(G396,4)),VALUE(LEFT(G396,2)),1),0)),"Ese día no existe en el mes",DATE(VALUE(RIGHT(G396,4)),VALUE(LEFT(G396,2)),F396)),"")</f>
        <v/>
      </c>
    </row>
    <row r="397" ht="18" customHeight="1">
      <c r="A397" s="5" t="n"/>
      <c r="B397" s="5" t="n"/>
      <c r="C397" s="6">
        <f>IFERROR(INDEX(Productos!$B$2:$B$174,MATCH(B397,Productos!$A$2:$A$174,0)),"")</f>
        <v/>
      </c>
      <c r="D397" s="7">
        <f>IFERROR(INDEX(Productos!$C$2:$C$174,MATCH(B397,Productos!$A$2:$A$174,0)),"")</f>
        <v/>
      </c>
      <c r="E397" s="8" t="n"/>
      <c r="F397" s="8" t="n"/>
      <c r="G397" s="5" t="n"/>
      <c r="H397" s="9">
        <f>IF(AND(ISNUMBER(F397),G397&lt;&gt;""),IF(F397&gt;DAY(EOMONTH(DATE(VALUE(RIGHT(G397,4)),VALUE(LEFT(G397,2)),1),0)),"Ese día no existe en el mes",DATE(VALUE(RIGHT(G397,4)),VALUE(LEFT(G397,2)),F397)),"")</f>
        <v/>
      </c>
    </row>
    <row r="398" ht="18" customHeight="1">
      <c r="A398" s="5" t="n"/>
      <c r="B398" s="5" t="n"/>
      <c r="C398" s="6">
        <f>IFERROR(INDEX(Productos!$B$2:$B$174,MATCH(B398,Productos!$A$2:$A$174,0)),"")</f>
        <v/>
      </c>
      <c r="D398" s="7">
        <f>IFERROR(INDEX(Productos!$C$2:$C$174,MATCH(B398,Productos!$A$2:$A$174,0)),"")</f>
        <v/>
      </c>
      <c r="E398" s="8" t="n"/>
      <c r="F398" s="8" t="n"/>
      <c r="G398" s="5" t="n"/>
      <c r="H398" s="9">
        <f>IF(AND(ISNUMBER(F398),G398&lt;&gt;""),IF(F398&gt;DAY(EOMONTH(DATE(VALUE(RIGHT(G398,4)),VALUE(LEFT(G398,2)),1),0)),"Ese día no existe en el mes",DATE(VALUE(RIGHT(G398,4)),VALUE(LEFT(G398,2)),F398)),"")</f>
        <v/>
      </c>
    </row>
    <row r="399" ht="18" customHeight="1">
      <c r="A399" s="5" t="n"/>
      <c r="B399" s="5" t="n"/>
      <c r="C399" s="6">
        <f>IFERROR(INDEX(Productos!$B$2:$B$174,MATCH(B399,Productos!$A$2:$A$174,0)),"")</f>
        <v/>
      </c>
      <c r="D399" s="7">
        <f>IFERROR(INDEX(Productos!$C$2:$C$174,MATCH(B399,Productos!$A$2:$A$174,0)),"")</f>
        <v/>
      </c>
      <c r="E399" s="8" t="n"/>
      <c r="F399" s="8" t="n"/>
      <c r="G399" s="5" t="n"/>
      <c r="H399" s="9">
        <f>IF(AND(ISNUMBER(F399),G399&lt;&gt;""),IF(F399&gt;DAY(EOMONTH(DATE(VALUE(RIGHT(G399,4)),VALUE(LEFT(G399,2)),1),0)),"Ese día no existe en el mes",DATE(VALUE(RIGHT(G399,4)),VALUE(LEFT(G399,2)),F399)),"")</f>
        <v/>
      </c>
    </row>
    <row r="400" ht="18" customHeight="1">
      <c r="A400" s="5" t="n"/>
      <c r="B400" s="5" t="n"/>
      <c r="C400" s="6">
        <f>IFERROR(INDEX(Productos!$B$2:$B$174,MATCH(B400,Productos!$A$2:$A$174,0)),"")</f>
        <v/>
      </c>
      <c r="D400" s="7">
        <f>IFERROR(INDEX(Productos!$C$2:$C$174,MATCH(B400,Productos!$A$2:$A$174,0)),"")</f>
        <v/>
      </c>
      <c r="E400" s="8" t="n"/>
      <c r="F400" s="8" t="n"/>
      <c r="G400" s="5" t="n"/>
      <c r="H400" s="9">
        <f>IF(AND(ISNUMBER(F400),G400&lt;&gt;""),IF(F400&gt;DAY(EOMONTH(DATE(VALUE(RIGHT(G400,4)),VALUE(LEFT(G400,2)),1),0)),"Ese día no existe en el mes",DATE(VALUE(RIGHT(G400,4)),VALUE(LEFT(G400,2)),F400)),"")</f>
        <v/>
      </c>
    </row>
    <row r="401" ht="18" customHeight="1">
      <c r="A401" s="5" t="n"/>
      <c r="B401" s="5" t="n"/>
      <c r="C401" s="6">
        <f>IFERROR(INDEX(Productos!$B$2:$B$174,MATCH(B401,Productos!$A$2:$A$174,0)),"")</f>
        <v/>
      </c>
      <c r="D401" s="7">
        <f>IFERROR(INDEX(Productos!$C$2:$C$174,MATCH(B401,Productos!$A$2:$A$174,0)),"")</f>
        <v/>
      </c>
      <c r="E401" s="8" t="n"/>
      <c r="F401" s="8" t="n"/>
      <c r="G401" s="5" t="n"/>
      <c r="H401" s="9">
        <f>IF(AND(ISNUMBER(F401),G401&lt;&gt;""),IF(F401&gt;DAY(EOMONTH(DATE(VALUE(RIGHT(G401,4)),VALUE(LEFT(G401,2)),1),0)),"Ese día no existe en el mes",DATE(VALUE(RIGHT(G401,4)),VALUE(LEFT(G401,2)),F401)),"")</f>
        <v/>
      </c>
    </row>
    <row r="402" ht="18" customHeight="1">
      <c r="A402" s="5" t="n"/>
      <c r="B402" s="5" t="n"/>
      <c r="C402" s="6">
        <f>IFERROR(INDEX(Productos!$B$2:$B$174,MATCH(B402,Productos!$A$2:$A$174,0)),"")</f>
        <v/>
      </c>
      <c r="D402" s="7">
        <f>IFERROR(INDEX(Productos!$C$2:$C$174,MATCH(B402,Productos!$A$2:$A$174,0)),"")</f>
        <v/>
      </c>
      <c r="E402" s="8" t="n"/>
      <c r="F402" s="8" t="n"/>
      <c r="G402" s="5" t="n"/>
      <c r="H402" s="9">
        <f>IF(AND(ISNUMBER(F402),G402&lt;&gt;""),IF(F402&gt;DAY(EOMONTH(DATE(VALUE(RIGHT(G402,4)),VALUE(LEFT(G402,2)),1),0)),"Ese día no existe en el mes",DATE(VALUE(RIGHT(G402,4)),VALUE(LEFT(G402,2)),F402)),"")</f>
        <v/>
      </c>
    </row>
  </sheetData>
  <sheetProtection selectLockedCells="0" selectUnlockedCells="0" sheet="1" objects="0" insertRows="1" insertHyperlinks="1" autoFilter="0" scenarios="0" formatColumns="0" deleteColumns="1" insertColumns="1" pivotTables="1" deleteRows="1" formatCells="1" formatRows="0" sort="1"/>
  <dataValidations count="5">
    <dataValidation sqref="A3:A402" showDropDown="0" showInputMessage="0" showErrorMessage="1" allowBlank="1" errorTitle="Marca no válida" error="Elige una marca de la lista." type="list">
      <formula1>=MARCAS</formula1>
    </dataValidation>
    <dataValidation sqref="B3:B402" showDropDown="0" showInputMessage="0" showErrorMessage="1" allowBlank="1" errorTitle="Producto no válido" error="Primero elige la marca en la columna A y luego un producto de la lista." type="list">
      <formula1>=INDIRECT(VLOOKUP($A3,Listas!$A$2:$B$200,2,FALSE))</formula1>
    </dataValidation>
    <dataValidation sqref="E3:E402" showDropDown="0" showInputMessage="0" showErrorMessage="1" allowBlank="1" errorTitle="Cantidad no válida" error="Escribe un número entero mayor que 0." type="whole" operator="greaterThanOrEqual">
      <formula1>1</formula1>
    </dataValidation>
    <dataValidation sqref="F3:F402" showDropDown="0" showInputMessage="0" showErrorMessage="1" allowBlank="1" errorTitle="Día no válido" error="Escribe solo el día: un número del 1 al 31." type="whole" operator="between">
      <formula1>1</formula1>
      <formula2>31</formula2>
    </dataValidation>
    <dataValidation sqref="G3:G402" showDropDown="0" showInputMessage="0" showErrorMessage="1" allowBlank="1" errorTitle="Mes no válido" error="Elige el mes y año de la lista: solo el mes actual y los 3 siguientes." type="list">
      <formula1>=MESES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3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Marca</t>
        </is>
      </c>
      <c r="B1" t="inlineStr">
        <is>
          <t>Rango</t>
        </is>
      </c>
      <c r="C1" t="inlineStr">
        <is>
          <t>Meses</t>
        </is>
      </c>
      <c r="D1" t="inlineStr">
        <is>
          <t>ANNAMAET</t>
        </is>
      </c>
      <c r="E1" t="inlineStr">
        <is>
          <t>BIL-JAC</t>
        </is>
      </c>
      <c r="F1" t="inlineStr">
        <is>
          <t>CANIDAE</t>
        </is>
      </c>
      <c r="G1" t="inlineStr">
        <is>
          <t>CHICKEN SOUP</t>
        </is>
      </c>
      <c r="H1" t="inlineStr">
        <is>
          <t>EMERALD</t>
        </is>
      </c>
      <c r="I1" t="inlineStr">
        <is>
          <t>ERA</t>
        </is>
      </c>
      <c r="J1" t="inlineStr">
        <is>
          <t>ESBILAC</t>
        </is>
      </c>
      <c r="K1" t="inlineStr">
        <is>
          <t>GRANDMA MAE'S</t>
        </is>
      </c>
      <c r="L1" t="inlineStr">
        <is>
          <t>HILL'S</t>
        </is>
      </c>
      <c r="M1" t="inlineStr">
        <is>
          <t>MIRRAPEL</t>
        </is>
      </c>
      <c r="N1" t="inlineStr">
        <is>
          <t>NUTRECAN</t>
        </is>
      </c>
      <c r="O1" t="inlineStr">
        <is>
          <t>NUTRI-VET</t>
        </is>
      </c>
      <c r="P1" t="inlineStr">
        <is>
          <t>NUTRISOURCE</t>
        </is>
      </c>
      <c r="Q1" t="inlineStr">
        <is>
          <t>NYLABONE</t>
        </is>
      </c>
      <c r="R1" t="inlineStr">
        <is>
          <t>PRESCRIPTION DIET</t>
        </is>
      </c>
      <c r="S1" t="inlineStr">
        <is>
          <t>PRO PLAN</t>
        </is>
      </c>
      <c r="T1" t="inlineStr">
        <is>
          <t>ROYAL CANIN</t>
        </is>
      </c>
      <c r="U1" t="inlineStr">
        <is>
          <t>SUPERKAN</t>
        </is>
      </c>
      <c r="V1" t="inlineStr">
        <is>
          <t>VET LIFE</t>
        </is>
      </c>
    </row>
    <row r="2">
      <c r="A2" t="inlineStr">
        <is>
          <t>ANNAMAET</t>
        </is>
      </c>
      <c r="B2" t="inlineStr">
        <is>
          <t>MARCA_1</t>
        </is>
      </c>
      <c r="C2">
        <f>RIGHT("0"&amp;MONTH(EDATE(TODAY(),0)),2)&amp;"/"&amp;YEAR(EDATE(TODAY(),0))</f>
        <v/>
      </c>
      <c r="D2" t="inlineStr">
        <is>
          <t>ANNAMAET ADULT 23% 5LB · 93500000171</t>
        </is>
      </c>
      <c r="E2" t="inlineStr">
        <is>
          <t>BILJAC PICKY NO MORE RAZA PEQUENA 6 · 93516580000</t>
        </is>
      </c>
      <c r="F2" t="inlineStr">
        <is>
          <t>CANIDAE CORDERO Y GRANOS P PERROS 5LB · 90021950000</t>
        </is>
      </c>
      <c r="G2" t="inlineStr">
        <is>
          <t>CS ALIM LATA  POLLOP/GATITO 5.5OZ · 93511230000</t>
        </is>
      </c>
      <c r="H2" t="inlineStr">
        <is>
          <t>EP SNACK DENTAL POLLO P/GATO 3OZ · 93509210000</t>
        </is>
      </c>
      <c r="I2" t="inlineStr">
        <is>
          <t>D ERA SYBARITE LATA ATUN/CERDO 400G · 93519110000</t>
        </is>
      </c>
      <c r="J2" t="inlineStr">
        <is>
          <t>ESBILAC LECHE EN POLVO 12 ONZ · 90311050000</t>
        </is>
      </c>
      <c r="K2" t="inlineStr">
        <is>
          <t>GM COUNT NAT ESTOMAG SENSIBLE/ PERRO 4LB · 93500000142</t>
        </is>
      </c>
      <c r="L2" t="inlineStr">
        <is>
          <t>SD ADULTO ESTOMAGO/PIEL SENSIBLE 4LB · 93507510001</t>
        </is>
      </c>
      <c r="M2" t="inlineStr">
        <is>
          <t>MIRRAPEL CACHORROS 120 ML · 90322660000</t>
        </is>
      </c>
      <c r="N2" t="inlineStr">
        <is>
          <t>SOLLA NUTRECAN ADULTOS RM Y RG 2KG · 93505920000</t>
        </is>
      </c>
      <c r="O2" t="inlineStr">
        <is>
          <t>D NV ARTHRISOOTHE TABLETA 40UD · 90327320000</t>
        </is>
      </c>
      <c r="P2" t="inlineStr">
        <is>
          <t>NS CACHORRO RZ GDE GF 12LB · 93500000457</t>
        </is>
      </c>
      <c r="Q2" t="inlineStr">
        <is>
          <t>NY SNACK DENTAL 1CT · 93500000332</t>
        </is>
      </c>
      <c r="R2" t="inlineStr">
        <is>
          <t>SD CANINE I/D 8.5 LB · 90304010000</t>
        </is>
      </c>
      <c r="S2" t="inlineStr">
        <is>
          <t>M PP GATO FORTI-FLORA 30X1.06OZ · 90009660000</t>
        </is>
      </c>
      <c r="T2" t="inlineStr">
        <is>
          <t>ROYAL CANIN CARDIAC 2KG · 93504700000</t>
        </is>
      </c>
      <c r="U2" t="inlineStr">
        <is>
          <t>ROCKY ADULTOS 1KG · 93500000342</t>
        </is>
      </c>
      <c r="V2" t="inlineStr">
        <is>
          <t>C VET LIFE NAT GASTROINTESTINAL 2 KG · 90010010000</t>
        </is>
      </c>
    </row>
    <row r="3">
      <c r="A3" t="inlineStr">
        <is>
          <t>BIL-JAC</t>
        </is>
      </c>
      <c r="B3" t="inlineStr">
        <is>
          <t>MARCA_2</t>
        </is>
      </c>
      <c r="C3">
        <f>RIGHT("0"&amp;MONTH(EDATE(TODAY(),1)),2)&amp;"/"&amp;YEAR(EDATE(TODAY(),1))</f>
        <v/>
      </c>
      <c r="D3" t="inlineStr">
        <is>
          <t>ANNAMAET CACHORROS 5LB · 93500000187</t>
        </is>
      </c>
      <c r="E3" t="inlineStr">
        <is>
          <t>BJ S SENSIBLE Y SIST INMUNE 6LB · 93518470000</t>
        </is>
      </c>
      <c r="F3" t="inlineStr">
        <is>
          <t>CANIDAE LATA CORDERO Y ARROZ 13OZ · 90022010000</t>
        </is>
      </c>
      <c r="G3" t="inlineStr">
        <is>
          <t>CS ALIMENTO EN LATA P/ADULTO 13OZ · 93511170000</t>
        </is>
      </c>
      <c r="H3" t="inlineStr">
        <is>
          <t>EP SNACK PUMPKIN HARVEST MANZANA 6OZ · 93500000505</t>
        </is>
      </c>
      <c r="I3" t="inlineStr">
        <is>
          <t>ERA SYBARITE LATA CACHORROS 400G · 93519090000</t>
        </is>
      </c>
      <c r="J3" t="inlineStr">
        <is>
          <t>PA VITAM/MINERALES GEL P/GATO · 90330330000</t>
        </is>
      </c>
      <c r="L3" t="inlineStr">
        <is>
          <t>SD FELINE GATITO 3.5LB · 90303640000</t>
        </is>
      </c>
      <c r="M3" t="inlineStr">
        <is>
          <t>MIRRAPEL CACHORROS 236 ML · 90322670000</t>
        </is>
      </c>
      <c r="N3" t="inlineStr">
        <is>
          <t>SOLLA NUTRECAN BABIES 2 KG · 90410730000</t>
        </is>
      </c>
      <c r="O3" t="inlineStr">
        <is>
          <t>D NV EXTRA SOPORTE/ARTICULACION 250U · 90328330000</t>
        </is>
      </c>
      <c r="P3" t="inlineStr">
        <is>
          <t>NS CACHORRO RZ GDE GF 4LB · 93500000458</t>
        </is>
      </c>
      <c r="Q3" t="inlineStr">
        <is>
          <t>NY SNACK DENTAL FILET MIGNON 160U · 93504590000</t>
        </is>
      </c>
      <c r="R3" t="inlineStr">
        <is>
          <t>SD CANINE U/D DRY 8.5LB · 90304020000</t>
        </is>
      </c>
      <c r="S3" t="inlineStr">
        <is>
          <t>M PP PERROS FORTI-FLORA UNIDAD 1.06OZ · 90009650000</t>
        </is>
      </c>
      <c r="T3" t="inlineStr">
        <is>
          <t>ROYAL CANIN GASTRO 2KG · 93505490000</t>
        </is>
      </c>
      <c r="V3" t="inlineStr">
        <is>
          <t>F VET LIFE NAT DIABETICO 2 KG · 90010120000</t>
        </is>
      </c>
    </row>
    <row r="4">
      <c r="A4" t="inlineStr">
        <is>
          <t>CANIDAE</t>
        </is>
      </c>
      <c r="B4" t="inlineStr">
        <is>
          <t>MARCA_3</t>
        </is>
      </c>
      <c r="C4">
        <f>RIGHT("0"&amp;MONTH(EDATE(TODAY(),2)),2)&amp;"/"&amp;YEAR(EDATE(TODAY(),2))</f>
        <v/>
      </c>
      <c r="D4" t="inlineStr">
        <is>
          <t>ANNAMAET GATOS 4LB · 93500000237</t>
        </is>
      </c>
      <c r="F4" t="inlineStr">
        <is>
          <t>CANIDAE LATA MULTIPROTEINAS 13OZ · 90022020000</t>
        </is>
      </c>
      <c r="G4" t="inlineStr">
        <is>
          <t>CS ALIMENTO EN LATA P/CACHORRO 13OZ · 93511160000</t>
        </is>
      </c>
      <c r="I4" t="inlineStr">
        <is>
          <t>ERA SYBARITE LATAPOLLO/PESCADO 400G · 93519100000</t>
        </is>
      </c>
      <c r="J4" t="inlineStr">
        <is>
          <t>PA VITAMINA EN GEL CALORIAS P/GATO · 90330310000</t>
        </is>
      </c>
      <c r="M4" t="inlineStr">
        <is>
          <t>MIRRAPEL OLEOSO 120 ML · 90322650000</t>
        </is>
      </c>
      <c r="N4" t="inlineStr">
        <is>
          <t>SOLLA NUTRECAN CAMPO 2KG · 90415960000</t>
        </is>
      </c>
      <c r="O4" t="inlineStr">
        <is>
          <t>D NV PASTILLA MASTICABLE P/VEJIGA 60U · 93518700000</t>
        </is>
      </c>
      <c r="P4" t="inlineStr">
        <is>
          <t>NS CACHORRO RZ GDE POLLO Y ARROZ 12LB · 93500000428</t>
        </is>
      </c>
      <c r="Q4" t="inlineStr">
        <is>
          <t>NY SNACK DENTAL FILET MIGNON SM28 · 93504600000</t>
        </is>
      </c>
      <c r="R4" t="inlineStr">
        <is>
          <t>SD CANINE/FELINE A/D 5.5 OZ. · 90304470000</t>
        </is>
      </c>
      <c r="S4" t="inlineStr">
        <is>
          <t>PP GATO LATA SOPORTE URINARIO 5.5OZ · 93519420000</t>
        </is>
      </c>
      <c r="T4" t="inlineStr">
        <is>
          <t>ROYAL CANIN GASTRO JUNIOR 2.5 KG · 90006770000</t>
        </is>
      </c>
    </row>
    <row r="5">
      <c r="A5" t="inlineStr">
        <is>
          <t>CHICKEN SOUP</t>
        </is>
      </c>
      <c r="B5" t="inlineStr">
        <is>
          <t>MARCA_4</t>
        </is>
      </c>
      <c r="C5">
        <f>RIGHT("0"&amp;MONTH(EDATE(TODAY(),3)),2)&amp;"/"&amp;YEAR(EDATE(TODAY(),3))</f>
        <v/>
      </c>
      <c r="D5" t="inlineStr">
        <is>
          <t>ANNAMAET GF GATOS 4LB · 93500000201</t>
        </is>
      </c>
      <c r="F5" t="inlineStr">
        <is>
          <t>CANIDAE LATA POLLO Y ARROZ 13OZ · 90021990000</t>
        </is>
      </c>
      <c r="G5" t="inlineStr">
        <is>
          <t>CS CLASSIC GATO PATE PAVO EN SALSA 5.5OZ · 93500000262</t>
        </is>
      </c>
      <c r="J5" t="inlineStr">
        <is>
          <t>PA VITAMINA EN GEL CALORIAS P/PERRO · 90330290000</t>
        </is>
      </c>
      <c r="M5" t="inlineStr">
        <is>
          <t>MIRRAPEL OLEOSO 236 ML · 90322640000</t>
        </is>
      </c>
      <c r="N5" t="inlineStr">
        <is>
          <t>SOLLA NUTRECAN LIGHT 2KG · 93510840000</t>
        </is>
      </c>
      <c r="O5" t="inlineStr">
        <is>
          <t>D NV SUPLEMENTO ANTI COPROFAGIA 500 · 90328650000</t>
        </is>
      </c>
      <c r="P5" t="inlineStr">
        <is>
          <t>NS CACHORRO RZ GDE POLLO Y ARROZ 4LB · 93500000429</t>
        </is>
      </c>
      <c r="Q5" t="inlineStr">
        <is>
          <t>NYLABONE HUESO PETITE CARNE ASADA · 93508280000</t>
        </is>
      </c>
      <c r="R5" t="inlineStr">
        <is>
          <t>SD LATA CANINE K/D12/ 13 OZ. · 90406540000</t>
        </is>
      </c>
      <c r="S5" t="inlineStr">
        <is>
          <t>PP GATO NF ADVANCE RINONES 3.15LB · 93519430000</t>
        </is>
      </c>
      <c r="T5" t="inlineStr">
        <is>
          <t>ROYAL CANIN GATO / RENAL 2KG · 93505710000</t>
        </is>
      </c>
    </row>
    <row r="6">
      <c r="A6" t="inlineStr">
        <is>
          <t>EMERALD</t>
        </is>
      </c>
      <c r="B6" t="inlineStr">
        <is>
          <t>MARCA_5</t>
        </is>
      </c>
      <c r="D6" t="inlineStr">
        <is>
          <t>ANNAMAET PIEL Y ESTOMAGO SENSIBLE 5LB · 93500000184</t>
        </is>
      </c>
      <c r="F6" t="inlineStr">
        <is>
          <t>CANIDAE MULTIPROTEINAS P PERROS 5LB · 90021890000</t>
        </is>
      </c>
      <c r="G6" t="inlineStr">
        <is>
          <t>CS CLASSIC GATO PATE POLLO EN SALSA 5.5O · 93500000261</t>
        </is>
      </c>
      <c r="J6" t="inlineStr">
        <is>
          <t>PETLAC LECHE EN POLVO P/PERROS 10.5 · 93519360000</t>
        </is>
      </c>
      <c r="M6" t="inlineStr">
        <is>
          <t>MIRRAPEL PET POLVO 300 g · 90301720000</t>
        </is>
      </c>
      <c r="O6" t="inlineStr">
        <is>
          <t>D NV SUPLEMENTO TRANQUILIZANTE 180 UD · 93518710000</t>
        </is>
      </c>
      <c r="P6" t="inlineStr">
        <is>
          <t>NS CACHORRO RZ PQNA Y MED GF 4LB · 93500000461</t>
        </is>
      </c>
      <c r="Q6" t="inlineStr">
        <is>
          <t>NYLABONE HUESO PETITE SABOR TOCINO · 93508190000</t>
        </is>
      </c>
      <c r="R6" t="inlineStr">
        <is>
          <t>SD LATA CANINE L/D12/ 13 OZ. · 90406480000</t>
        </is>
      </c>
      <c r="S6" t="inlineStr">
        <is>
          <t>PP GATO NF LATA ADVANCE RINONES 5.5 · 93519440000</t>
        </is>
      </c>
      <c r="T6" t="inlineStr">
        <is>
          <t>ROYAL CANIN GATO SIST URINARIO 1.5K · 93505700000</t>
        </is>
      </c>
    </row>
    <row r="7">
      <c r="A7" t="inlineStr">
        <is>
          <t>ERA</t>
        </is>
      </c>
      <c r="B7" t="inlineStr">
        <is>
          <t>MARCA_6</t>
        </is>
      </c>
      <c r="D7" t="inlineStr">
        <is>
          <t>ANNAMAET RAZA PEQUENA 4 LB · 93500000183</t>
        </is>
      </c>
      <c r="F7" t="inlineStr">
        <is>
          <t>CANIDAE POLLO Y GRANOS P PERROS 5LB · 90021860000</t>
        </is>
      </c>
      <c r="G7" t="inlineStr">
        <is>
          <t>CS CLASSIC GATO PATE SALMON EN SALSA 5.5 · 93500000263</t>
        </is>
      </c>
      <c r="J7" t="inlineStr">
        <is>
          <t>SUPL EN POLVO LECHE DE CABRA 12OZ · 90308700000</t>
        </is>
      </c>
      <c r="O7" t="inlineStr">
        <is>
          <t>D NV TABLET PERR SENIOR MALESTAR/DOL · 90328760000</t>
        </is>
      </c>
      <c r="P7" t="inlineStr">
        <is>
          <t>NS CTRL PESO PERRO POLLO 12LB · 93500000416</t>
        </is>
      </c>
      <c r="R7" t="inlineStr">
        <is>
          <t>SD LATA CANINE W/D12/13OZ · 90406510000</t>
        </is>
      </c>
      <c r="S7" t="inlineStr">
        <is>
          <t>PP GATOS LATA VET EN GASTRO 5.5OZ · 93519460000</t>
        </is>
      </c>
      <c r="T7" t="inlineStr">
        <is>
          <t>ROYAL CANIN HIPOALERGENICO RAZA PQ  1KG · 90006780000</t>
        </is>
      </c>
    </row>
    <row r="8">
      <c r="A8" t="inlineStr">
        <is>
          <t>ESBILAC</t>
        </is>
      </c>
      <c r="B8" t="inlineStr">
        <is>
          <t>MARCA_7</t>
        </is>
      </c>
      <c r="D8" t="inlineStr">
        <is>
          <t>ANNAMAET RZ PQÑA SALMON 4LB · 90016160000</t>
        </is>
      </c>
      <c r="F8" t="inlineStr">
        <is>
          <t>CANIDAE POLLO Y PAPAS P PERROS 4 LB · 90021970000</t>
        </is>
      </c>
      <c r="G8" t="inlineStr">
        <is>
          <t>CS CLASSIC MATURE POLLO RZ PQNA 4.5 · 93518630000</t>
        </is>
      </c>
      <c r="O8" t="inlineStr">
        <is>
          <t>D NV VITAMINAS LEVADURA/AJO 100UD · 90327410000</t>
        </is>
      </c>
      <c r="P8" t="inlineStr">
        <is>
          <t>NS GATO Y GATITO POLLO SALMON HIGADO 4 · 93500000479</t>
        </is>
      </c>
      <c r="R8" t="inlineStr">
        <is>
          <t>SD PD CANINDE C/D LATA 12OZ · 93517020000</t>
        </is>
      </c>
      <c r="S8" t="inlineStr">
        <is>
          <t>PP GATOS VET HYDROLYZED 4LB · 93519450000</t>
        </is>
      </c>
      <c r="T8" t="inlineStr">
        <is>
          <t>ROYAL CANIN RENAL 2KG · 93510310000</t>
        </is>
      </c>
    </row>
    <row r="9">
      <c r="A9" t="inlineStr">
        <is>
          <t>GRANDMA MAE'S</t>
        </is>
      </c>
      <c r="B9" t="inlineStr">
        <is>
          <t>MARCA_8</t>
        </is>
      </c>
      <c r="F9" t="inlineStr">
        <is>
          <t>CANIDAE SALMON Y GRANOS P PERROS 5LB · 90021930000</t>
        </is>
      </c>
      <c r="G9" t="inlineStr">
        <is>
          <t>CS CLASSIC POLLO P/ADULTO 4.5LB · 93511070000</t>
        </is>
      </c>
      <c r="O9" t="inlineStr">
        <is>
          <t>NV ENZIMAS DIGESTIVAS P/PERROS 70UD · 90327670000</t>
        </is>
      </c>
      <c r="P9" t="inlineStr">
        <is>
          <t>NS GATO Y GATITO POLLO Y ARROZ 4LB · 93500000477</t>
        </is>
      </c>
      <c r="R9" t="inlineStr">
        <is>
          <t>SD PD CANINE K/D 3.3LB · 93516960000</t>
        </is>
      </c>
      <c r="S9" t="inlineStr">
        <is>
          <t>PP PERROS EN GASTRO 6LB · 93519540000</t>
        </is>
      </c>
      <c r="T9" t="inlineStr">
        <is>
          <t>ROYAL CANIN S.UNRINARIO RAZA PQ 1.5 KG · 90006790000</t>
        </is>
      </c>
    </row>
    <row r="10">
      <c r="A10" t="inlineStr">
        <is>
          <t>HILL'S</t>
        </is>
      </c>
      <c r="B10" t="inlineStr">
        <is>
          <t>MARCA_9</t>
        </is>
      </c>
      <c r="G10" t="inlineStr">
        <is>
          <t>CS CLASSIC POLLO P/MATURE 4.5LB · 93511130000</t>
        </is>
      </c>
      <c r="O10" t="inlineStr">
        <is>
          <t>NV GLUCOSAMINA MASTICABLE NIVEL 2 · 90328050000</t>
        </is>
      </c>
      <c r="P10" t="inlineStr">
        <is>
          <t>NS LATA CACHORRO POLLO 13OZ · 93500000469</t>
        </is>
      </c>
      <c r="R10" t="inlineStr">
        <is>
          <t>SD PD GATO GASTROINTESTINAL 4LB · 93517070000</t>
        </is>
      </c>
      <c r="S10" t="inlineStr">
        <is>
          <t>PP PERROS HYDROLYZED 6LB · 93519500000</t>
        </is>
      </c>
      <c r="T10" t="inlineStr">
        <is>
          <t>ROYAL CANIN SISTEMA URINARIO 2KG · 93505570000</t>
        </is>
      </c>
    </row>
    <row r="11">
      <c r="A11" t="inlineStr">
        <is>
          <t>MIRRAPEL</t>
        </is>
      </c>
      <c r="B11" t="inlineStr">
        <is>
          <t>MARCA_10</t>
        </is>
      </c>
      <c r="G11" t="inlineStr">
        <is>
          <t>CS GATO CTRL PESO Y SENIOR 4.5LB · 93500000252</t>
        </is>
      </c>
      <c r="O11" t="inlineStr">
        <is>
          <t>NV HIP N JOINT MASTICABLE 120UD · 90328300000</t>
        </is>
      </c>
      <c r="P11" t="inlineStr">
        <is>
          <t>NS LATA CACHORRO RZ PQNA Y MED 5.5OZ · 93500000471</t>
        </is>
      </c>
      <c r="R11" t="inlineStr">
        <is>
          <t>SD PD GATO I/D 4LB · 93517090000</t>
        </is>
      </c>
      <c r="S11" t="inlineStr">
        <is>
          <t>PP PERROS LATA GASTRO 13.4OZ · 93519550000</t>
        </is>
      </c>
      <c r="T11" t="inlineStr">
        <is>
          <t>ROYALCANIN HIPOALERGENICO 2KG · 90407030000</t>
        </is>
      </c>
    </row>
    <row r="12">
      <c r="A12" t="inlineStr">
        <is>
          <t>NUTRECAN</t>
        </is>
      </c>
      <c r="B12" t="inlineStr">
        <is>
          <t>MARCA_11</t>
        </is>
      </c>
      <c r="G12" t="inlineStr">
        <is>
          <t>CS GATO SALMON Y ARROZ 4.5LB · 93500000254</t>
        </is>
      </c>
      <c r="O12" t="inlineStr">
        <is>
          <t>NV PAST MAST CON ARANDANO P/PERRO60 · 90327640000</t>
        </is>
      </c>
      <c r="P12" t="inlineStr">
        <is>
          <t>NS LATA GATO GATITO POLL PAV CORD PESC 5 · 93500000488</t>
        </is>
      </c>
      <c r="R12" t="inlineStr">
        <is>
          <t>SD PD GATO I/D LATA 5.5OZ · 93517100000</t>
        </is>
      </c>
      <c r="S12" t="inlineStr">
        <is>
          <t>PP PERROS LATA HYDROLYZED 13.3OZ · 93519510000</t>
        </is>
      </c>
      <c r="T12" t="inlineStr">
        <is>
          <t>ROYALCANIN SATIETY 1.5KG · 93516260000</t>
        </is>
      </c>
    </row>
    <row r="13">
      <c r="A13" t="inlineStr">
        <is>
          <t>NUTRI-VET</t>
        </is>
      </c>
      <c r="B13" t="inlineStr">
        <is>
          <t>MARCA_12</t>
        </is>
      </c>
      <c r="G13" t="inlineStr">
        <is>
          <t>CS GF PERRO POLLO, PESCADO 13OZ · 93500000258</t>
        </is>
      </c>
      <c r="O13" t="inlineStr">
        <is>
          <t>NV TRANQUILIZANTE MAST P/GATOS 60UD · 90328700000</t>
        </is>
      </c>
      <c r="P13" t="inlineStr">
        <is>
          <t>NS LATA GATO GATITO POLLO 5.5 OZ · 93500000486</t>
        </is>
      </c>
      <c r="R13" t="inlineStr">
        <is>
          <t>SD PF GATOS C/D LATA 5.5OZ · 93517060000</t>
        </is>
      </c>
      <c r="S13" t="inlineStr">
        <is>
          <t>PP PERROS LATA SOBREPESO 13.3OZ · 93519490000</t>
        </is>
      </c>
      <c r="T13" t="inlineStr">
        <is>
          <t>VHN GASTRO INT FELINO 2KG · 90414501000</t>
        </is>
      </c>
    </row>
    <row r="14">
      <c r="A14" t="inlineStr">
        <is>
          <t>NUTRISOURCE</t>
        </is>
      </c>
      <c r="B14" t="inlineStr">
        <is>
          <t>MARCA_13</t>
        </is>
      </c>
      <c r="G14" t="inlineStr">
        <is>
          <t>CS GRAIN FREE POLLO P/ GATOS 4LB · 93514590000</t>
        </is>
      </c>
      <c r="O14" t="inlineStr">
        <is>
          <t>NV VITAMINA P/CACHORRO ALIENTO 70 U · 90328840000</t>
        </is>
      </c>
      <c r="P14" t="inlineStr">
        <is>
          <t>NS LATA GATO GATITO POLLO PAVO CORDERO 5 · 93500000487</t>
        </is>
      </c>
      <c r="S14" t="inlineStr">
        <is>
          <t>PP PERROS LATA SOPORTE RINONES 13.3 · 93519530000</t>
        </is>
      </c>
    </row>
    <row r="15">
      <c r="A15" t="inlineStr">
        <is>
          <t>NYLABONE</t>
        </is>
      </c>
      <c r="B15" t="inlineStr">
        <is>
          <t>MARCA_14</t>
        </is>
      </c>
      <c r="G15" t="inlineStr">
        <is>
          <t>CS PERR CTRL PESO ARROZ, POLLO, PAVO 4.5 · 93500000248</t>
        </is>
      </c>
      <c r="P15" t="inlineStr">
        <is>
          <t>NS LATA GF PERRO MARISCOS 13OZ · 93500000475</t>
        </is>
      </c>
      <c r="S15" t="inlineStr">
        <is>
          <t>PP PERROS NF SOPORTE RINONES 6LB · 93519520000</t>
        </is>
      </c>
    </row>
    <row r="16">
      <c r="A16" t="inlineStr">
        <is>
          <t>PRESCRIPTION DIET</t>
        </is>
      </c>
      <c r="B16" t="inlineStr">
        <is>
          <t>MARCA_15</t>
        </is>
      </c>
      <c r="G16" t="inlineStr">
        <is>
          <t>CS SNACK CRUNCHY M MANI /PERRO 12OZ · 93514390000</t>
        </is>
      </c>
      <c r="P16" t="inlineStr">
        <is>
          <t>NS LATA GF PERRO POLLO 13OZ · 93500000472</t>
        </is>
      </c>
      <c r="S16" t="inlineStr">
        <is>
          <t>PP PERROS SOBREPESO 6LB · 93519480000</t>
        </is>
      </c>
    </row>
    <row r="17">
      <c r="A17" t="inlineStr">
        <is>
          <t>PRO PLAN</t>
        </is>
      </c>
      <c r="B17" t="inlineStr">
        <is>
          <t>MARCA_16</t>
        </is>
      </c>
      <c r="G17" t="inlineStr">
        <is>
          <t>CS SNACK CRUNCHY POLLO P/PERRO 12OZ · 93511270000</t>
        </is>
      </c>
      <c r="P17" t="inlineStr">
        <is>
          <t>NS LATA PERRO CORDERO 13OZ · 93500000468</t>
        </is>
      </c>
      <c r="S17" t="inlineStr">
        <is>
          <t>PP PROPLAN CACHORROS POUCH 85 G · 93520260000</t>
        </is>
      </c>
    </row>
    <row r="18">
      <c r="A18" t="inlineStr">
        <is>
          <t>ROYAL CANIN</t>
        </is>
      </c>
      <c r="B18" t="inlineStr">
        <is>
          <t>MARCA_17</t>
        </is>
      </c>
      <c r="G18" t="inlineStr">
        <is>
          <t>CS SNACK CRUNCHY TOCINO /PERRO 12OZ · 93514380000</t>
        </is>
      </c>
      <c r="P18" t="inlineStr">
        <is>
          <t>NS LATA PERRO CORDERO Y PESCADO 13OZ · 93500000467</t>
        </is>
      </c>
      <c r="S18" t="inlineStr">
        <is>
          <t>PPVD GATO SOBREPESO 6LB · 90038410000</t>
        </is>
      </c>
    </row>
    <row r="19">
      <c r="A19" t="inlineStr">
        <is>
          <t>SUPERKAN</t>
        </is>
      </c>
      <c r="B19" t="inlineStr">
        <is>
          <t>MARCA_18</t>
        </is>
      </c>
      <c r="G19" t="inlineStr">
        <is>
          <t>CS SNACK SAVORY CARNE P/PERRO 6OZ · 93514410000</t>
        </is>
      </c>
      <c r="P19" t="inlineStr">
        <is>
          <t>NS LATA PERRO GF HEARTLAND SELECT 13OZ · 93500000473</t>
        </is>
      </c>
      <c r="S19" t="inlineStr">
        <is>
          <t>PPVD NC NEUROCARE 6LB · 90038380000</t>
        </is>
      </c>
    </row>
    <row r="20">
      <c r="A20" t="inlineStr">
        <is>
          <t>VET LIFE</t>
        </is>
      </c>
      <c r="B20" t="inlineStr">
        <is>
          <t>MARCA_19</t>
        </is>
      </c>
      <c r="G20" t="inlineStr">
        <is>
          <t>CS SNACK SAVORY POLLO P/PERRO 6OZ · 93514420000</t>
        </is>
      </c>
      <c r="P20" t="inlineStr">
        <is>
          <t>NS LATA PERRO POLLO Y ARROZ 13OZ · 93500000466</t>
        </is>
      </c>
      <c r="S20" t="inlineStr">
        <is>
          <t>PPVD NUTRICION CRITICA GATO Y PERRO 5.5O · 90038430000</t>
        </is>
      </c>
    </row>
    <row r="21">
      <c r="G21" t="inlineStr">
        <is>
          <t>CS SNACK SAVORY STICKS CARNE 5OZ · 93514660000</t>
        </is>
      </c>
      <c r="P21" t="inlineStr">
        <is>
          <t>NS PERRO ADULT POLLO Y ARROZ 12LB · 93500000419</t>
        </is>
      </c>
      <c r="S21" t="inlineStr">
        <is>
          <t>PPVD PERRO URINARY 13.3OZ · 90038400000</t>
        </is>
      </c>
    </row>
    <row r="22">
      <c r="G22" t="inlineStr">
        <is>
          <t>CS SNACK SAVORY STICKS PATO 5OZ · 93514680000</t>
        </is>
      </c>
      <c r="P22" t="inlineStr">
        <is>
          <t>NS PERRO ADULT POLLO Y ARROZ 4LB · 93500000420</t>
        </is>
      </c>
      <c r="S22" t="inlineStr">
        <is>
          <t>PROPLAN GATO ESTERILIZADO SALMON 3K · 93519980000</t>
        </is>
      </c>
    </row>
    <row r="23">
      <c r="G23" t="inlineStr">
        <is>
          <t>CS SNACK SAVORY STICKS POLLO 5OZ · 93514650000</t>
        </is>
      </c>
      <c r="P23" t="inlineStr">
        <is>
          <t>NS PERRO ADULTO SMB POLLO Y ARROZ 12LB · 93500000421</t>
        </is>
      </c>
      <c r="S23" t="inlineStr">
        <is>
          <t>PROPLAN URINARY GATO ADULTO 1.5KG MX · 90038570000</t>
        </is>
      </c>
    </row>
    <row r="24">
      <c r="G24" t="inlineStr">
        <is>
          <t>CS SNACK SAVORY STICKS TOCINO 5OZ · 93514670000</t>
        </is>
      </c>
      <c r="P24" t="inlineStr">
        <is>
          <t>NS PERRO ADULTO SMB POLLO Y ARROZ 4LB · 93500000422</t>
        </is>
      </c>
      <c r="S24" t="inlineStr">
        <is>
          <t>PROPLAN URINARY OPTITRACT 3KG · 93519970000</t>
        </is>
      </c>
    </row>
    <row r="25">
      <c r="P25" t="inlineStr">
        <is>
          <t>NS PERRO CORDERO Y ARROZ 12LB · 93500000434</t>
        </is>
      </c>
    </row>
    <row r="26">
      <c r="P26" t="inlineStr">
        <is>
          <t>NS PERRO CORDERO Y ARROZ 26LB · 93500000436</t>
        </is>
      </c>
    </row>
    <row r="27">
      <c r="P27" t="inlineStr">
        <is>
          <t>NS PERRO CORDERO Y ARROZ 4LB · 93500000435</t>
        </is>
      </c>
    </row>
    <row r="28">
      <c r="P28" t="inlineStr">
        <is>
          <t>NS PERRO CTRL PESO GF 12LB · 93500000451</t>
        </is>
      </c>
    </row>
    <row r="29">
      <c r="P29" t="inlineStr">
        <is>
          <t>NS PERRO CTRL PESO GF 4LB · 93500000452</t>
        </is>
      </c>
    </row>
    <row r="30">
      <c r="P30" t="inlineStr">
        <is>
          <t>NS PERRO GF CORDERO Y GUISANTES 4LB · 93500000445</t>
        </is>
      </c>
    </row>
    <row r="31">
      <c r="P31" t="inlineStr">
        <is>
          <t>NS PERRO GF MARISCOS 4LB · 93500000464</t>
        </is>
      </c>
    </row>
    <row r="32">
      <c r="P32" t="inlineStr">
        <is>
          <t>NS PERRO GF POLLO GUISANTE 12LB · 93500000441</t>
        </is>
      </c>
    </row>
    <row r="33">
      <c r="P33" t="inlineStr">
        <is>
          <t>NS PERRO GF POLLO Y GUISANTE 4LB · 93500000442</t>
        </is>
      </c>
    </row>
    <row r="34">
      <c r="P34" t="inlineStr">
        <is>
          <t>NS PERRO GF RZ PQNA POLLO GUISANTE 12L · 93500000449</t>
        </is>
      </c>
    </row>
    <row r="35">
      <c r="P35" t="inlineStr">
        <is>
          <t>NS PERRO GF RZ PQNA POLLO GUISANTE 4LB · 93500000450</t>
        </is>
      </c>
    </row>
    <row r="36">
      <c r="P36" t="inlineStr">
        <is>
          <t>NS PERRO PAVO Y ARROZ 12LB · 93500000438</t>
        </is>
      </c>
    </row>
    <row r="37">
      <c r="P37" t="inlineStr">
        <is>
          <t>NS PERRO PAVO Y ARROZ 4LB · 93500000439</t>
        </is>
      </c>
    </row>
    <row r="38">
      <c r="P38" t="inlineStr">
        <is>
          <t>NS PERRO SENIOR GF 12LB · 93500000454</t>
        </is>
      </c>
    </row>
    <row r="39">
      <c r="P39" t="inlineStr">
        <is>
          <t>NS PRAIRIE SELECT GF P PERROS 12LB · 90035700000</t>
        </is>
      </c>
    </row>
    <row r="40">
      <c r="P40" t="inlineStr">
        <is>
          <t>NS SENIOR POLLO Y ARROZ 4LB · 93500000432</t>
        </is>
      </c>
    </row>
    <row r="41">
      <c r="P41" t="inlineStr">
        <is>
          <t>NS SNACK ARÁNDANO Y ALMENDRA 6OZ · 93500000495</t>
        </is>
      </c>
    </row>
    <row r="42">
      <c r="P42" t="inlineStr">
        <is>
          <t>NS SNACK GF BOCADOS GDES CARNE 14OZ · 93500000496</t>
        </is>
      </c>
    </row>
    <row r="43">
      <c r="P43" t="inlineStr">
        <is>
          <t>NS SNACK GF PEQ BOCADOS CARNE 6OZ · 93500000494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Código</t>
        </is>
      </c>
      <c r="C1" t="inlineStr">
        <is>
          <t>Inventario (u)</t>
        </is>
      </c>
      <c r="D1" t="inlineStr">
        <is>
          <t>Marca</t>
        </is>
      </c>
    </row>
    <row r="2">
      <c r="A2" t="inlineStr">
        <is>
          <t>ANNAMAET ADULT 23% 5LB · 93500000171</t>
        </is>
      </c>
      <c r="B2" t="inlineStr">
        <is>
          <t>93500000171</t>
        </is>
      </c>
      <c r="C2" t="n">
        <v>4</v>
      </c>
      <c r="D2" t="inlineStr">
        <is>
          <t>ANNAMAET</t>
        </is>
      </c>
    </row>
    <row r="3">
      <c r="A3" t="inlineStr">
        <is>
          <t>ANNAMAET CACHORROS 5LB · 93500000187</t>
        </is>
      </c>
      <c r="B3" t="inlineStr">
        <is>
          <t>93500000187</t>
        </is>
      </c>
      <c r="C3" t="n">
        <v>4</v>
      </c>
      <c r="D3" t="inlineStr">
        <is>
          <t>ANNAMAET</t>
        </is>
      </c>
    </row>
    <row r="4">
      <c r="A4" t="inlineStr">
        <is>
          <t>ANNAMAET GATOS 4LB · 93500000237</t>
        </is>
      </c>
      <c r="B4" t="inlineStr">
        <is>
          <t>93500000237</t>
        </is>
      </c>
      <c r="C4" t="n">
        <v>3</v>
      </c>
      <c r="D4" t="inlineStr">
        <is>
          <t>ANNAMAET</t>
        </is>
      </c>
    </row>
    <row r="5">
      <c r="A5" t="inlineStr">
        <is>
          <t>ANNAMAET GF GATOS 4LB · 93500000201</t>
        </is>
      </c>
      <c r="B5" t="inlineStr">
        <is>
          <t>93500000201</t>
        </is>
      </c>
      <c r="C5" t="n">
        <v>4</v>
      </c>
      <c r="D5" t="inlineStr">
        <is>
          <t>ANNAMAET</t>
        </is>
      </c>
    </row>
    <row r="6">
      <c r="A6" t="inlineStr">
        <is>
          <t>ANNAMAET PIEL Y ESTOMAGO SENSIBLE 5LB · 93500000184</t>
        </is>
      </c>
      <c r="B6" t="inlineStr">
        <is>
          <t>93500000184</t>
        </is>
      </c>
      <c r="C6" t="n">
        <v>3</v>
      </c>
      <c r="D6" t="inlineStr">
        <is>
          <t>ANNAMAET</t>
        </is>
      </c>
    </row>
    <row r="7">
      <c r="A7" t="inlineStr">
        <is>
          <t>ANNAMAET RAZA PEQUENA 4 LB · 93500000183</t>
        </is>
      </c>
      <c r="B7" t="inlineStr">
        <is>
          <t>93500000183</t>
        </is>
      </c>
      <c r="C7" t="n">
        <v>4</v>
      </c>
      <c r="D7" t="inlineStr">
        <is>
          <t>ANNAMAET</t>
        </is>
      </c>
    </row>
    <row r="8">
      <c r="A8" t="inlineStr">
        <is>
          <t>ANNAMAET RZ PQÑA SALMON 4LB · 90016160000</t>
        </is>
      </c>
      <c r="B8" t="inlineStr">
        <is>
          <t>90016160000</t>
        </is>
      </c>
      <c r="C8" t="n">
        <v>2</v>
      </c>
      <c r="D8" t="inlineStr">
        <is>
          <t>ANNAMAET</t>
        </is>
      </c>
    </row>
    <row r="9">
      <c r="A9" t="inlineStr">
        <is>
          <t>BILJAC PICKY NO MORE RAZA PEQUENA 6 · 93516580000</t>
        </is>
      </c>
      <c r="B9" t="inlineStr">
        <is>
          <t>93516580000</t>
        </is>
      </c>
      <c r="C9" t="n">
        <v>2</v>
      </c>
      <c r="D9" t="inlineStr">
        <is>
          <t>BIL-JAC</t>
        </is>
      </c>
    </row>
    <row r="10">
      <c r="A10" t="inlineStr">
        <is>
          <t>BJ S SENSIBLE Y SIST INMUNE 6LB · 93518470000</t>
        </is>
      </c>
      <c r="B10" t="inlineStr">
        <is>
          <t>93518470000</t>
        </is>
      </c>
      <c r="C10" t="n">
        <v>2</v>
      </c>
      <c r="D10" t="inlineStr">
        <is>
          <t>BIL-JAC</t>
        </is>
      </c>
    </row>
    <row r="11">
      <c r="A11" t="inlineStr">
        <is>
          <t>CANIDAE CORDERO Y GRANOS P PERROS 5LB · 90021950000</t>
        </is>
      </c>
      <c r="B11" t="inlineStr">
        <is>
          <t>90021950000</t>
        </is>
      </c>
      <c r="C11" t="n">
        <v>6</v>
      </c>
      <c r="D11" t="inlineStr">
        <is>
          <t>CANIDAE</t>
        </is>
      </c>
    </row>
    <row r="12">
      <c r="A12" t="inlineStr">
        <is>
          <t>CANIDAE LATA CORDERO Y ARROZ 13OZ · 90022010000</t>
        </is>
      </c>
      <c r="B12" t="inlineStr">
        <is>
          <t>90022010000</t>
        </is>
      </c>
      <c r="C12" t="n">
        <v>12</v>
      </c>
      <c r="D12" t="inlineStr">
        <is>
          <t>CANIDAE</t>
        </is>
      </c>
    </row>
    <row r="13">
      <c r="A13" t="inlineStr">
        <is>
          <t>CANIDAE LATA MULTIPROTEINAS 13OZ · 90022020000</t>
        </is>
      </c>
      <c r="B13" t="inlineStr">
        <is>
          <t>90022020000</t>
        </is>
      </c>
      <c r="C13" t="n">
        <v>12</v>
      </c>
      <c r="D13" t="inlineStr">
        <is>
          <t>CANIDAE</t>
        </is>
      </c>
    </row>
    <row r="14">
      <c r="A14" t="inlineStr">
        <is>
          <t>CANIDAE LATA POLLO Y ARROZ 13OZ · 90021990000</t>
        </is>
      </c>
      <c r="B14" t="inlineStr">
        <is>
          <t>90021990000</t>
        </is>
      </c>
      <c r="C14" t="n">
        <v>12</v>
      </c>
      <c r="D14" t="inlineStr">
        <is>
          <t>CANIDAE</t>
        </is>
      </c>
    </row>
    <row r="15">
      <c r="A15" t="inlineStr">
        <is>
          <t>CANIDAE MULTIPROTEINAS P PERROS 5LB · 90021890000</t>
        </is>
      </c>
      <c r="B15" t="inlineStr">
        <is>
          <t>90021890000</t>
        </is>
      </c>
      <c r="C15" t="n">
        <v>6</v>
      </c>
      <c r="D15" t="inlineStr">
        <is>
          <t>CANIDAE</t>
        </is>
      </c>
    </row>
    <row r="16">
      <c r="A16" t="inlineStr">
        <is>
          <t>CANIDAE POLLO Y GRANOS P PERROS 5LB · 90021860000</t>
        </is>
      </c>
      <c r="B16" t="inlineStr">
        <is>
          <t>90021860000</t>
        </is>
      </c>
      <c r="C16" t="n">
        <v>3</v>
      </c>
      <c r="D16" t="inlineStr">
        <is>
          <t>CANIDAE</t>
        </is>
      </c>
    </row>
    <row r="17">
      <c r="A17" t="inlineStr">
        <is>
          <t>CANIDAE POLLO Y PAPAS P PERROS 4 LB · 90021970000</t>
        </is>
      </c>
      <c r="B17" t="inlineStr">
        <is>
          <t>90021970000</t>
        </is>
      </c>
      <c r="C17" t="n">
        <v>6</v>
      </c>
      <c r="D17" t="inlineStr">
        <is>
          <t>CANIDAE</t>
        </is>
      </c>
    </row>
    <row r="18">
      <c r="A18" t="inlineStr">
        <is>
          <t>CANIDAE SALMON Y GRANOS P PERROS 5LB · 90021930000</t>
        </is>
      </c>
      <c r="B18" t="inlineStr">
        <is>
          <t>90021930000</t>
        </is>
      </c>
      <c r="C18" t="n">
        <v>6</v>
      </c>
      <c r="D18" t="inlineStr">
        <is>
          <t>CANIDAE</t>
        </is>
      </c>
    </row>
    <row r="19">
      <c r="A19" t="inlineStr">
        <is>
          <t>CS ALIM LATA  POLLOP/GATITO 5.5OZ · 93511230000</t>
        </is>
      </c>
      <c r="B19" t="inlineStr">
        <is>
          <t>93511230000</t>
        </is>
      </c>
      <c r="C19" t="n">
        <v>10</v>
      </c>
      <c r="D19" t="inlineStr">
        <is>
          <t>CHICKEN SOUP</t>
        </is>
      </c>
    </row>
    <row r="20">
      <c r="A20" t="inlineStr">
        <is>
          <t>CS ALIMENTO EN LATA P/ADULTO 13OZ · 93511170000</t>
        </is>
      </c>
      <c r="B20" t="inlineStr">
        <is>
          <t>93511170000</t>
        </is>
      </c>
      <c r="C20" t="n">
        <v>5</v>
      </c>
      <c r="D20" t="inlineStr">
        <is>
          <t>CHICKEN SOUP</t>
        </is>
      </c>
    </row>
    <row r="21">
      <c r="A21" t="inlineStr">
        <is>
          <t>CS ALIMENTO EN LATA P/CACHORRO 13OZ · 93511160000</t>
        </is>
      </c>
      <c r="B21" t="inlineStr">
        <is>
          <t>93511160000</t>
        </is>
      </c>
      <c r="C21" t="n">
        <v>7</v>
      </c>
      <c r="D21" t="inlineStr">
        <is>
          <t>CHICKEN SOUP</t>
        </is>
      </c>
    </row>
    <row r="22">
      <c r="A22" t="inlineStr">
        <is>
          <t>CS CLASSIC GATO PATE PAVO EN SALSA 5.5OZ · 93500000262</t>
        </is>
      </c>
      <c r="B22" t="inlineStr">
        <is>
          <t>93500000262</t>
        </is>
      </c>
      <c r="C22" t="n">
        <v>5</v>
      </c>
      <c r="D22" t="inlineStr">
        <is>
          <t>CHICKEN SOUP</t>
        </is>
      </c>
    </row>
    <row r="23">
      <c r="A23" t="inlineStr">
        <is>
          <t>CS CLASSIC GATO PATE POLLO EN SALSA 5.5O · 93500000261</t>
        </is>
      </c>
      <c r="B23" t="inlineStr">
        <is>
          <t>93500000261</t>
        </is>
      </c>
      <c r="C23" t="n">
        <v>11</v>
      </c>
      <c r="D23" t="inlineStr">
        <is>
          <t>CHICKEN SOUP</t>
        </is>
      </c>
    </row>
    <row r="24">
      <c r="A24" t="inlineStr">
        <is>
          <t>CS CLASSIC GATO PATE SALMON EN SALSA 5.5 · 93500000263</t>
        </is>
      </c>
      <c r="B24" t="inlineStr">
        <is>
          <t>93500000263</t>
        </is>
      </c>
      <c r="C24" t="n">
        <v>2</v>
      </c>
      <c r="D24" t="inlineStr">
        <is>
          <t>CHICKEN SOUP</t>
        </is>
      </c>
    </row>
    <row r="25">
      <c r="A25" t="inlineStr">
        <is>
          <t>CS CLASSIC MATURE POLLO RZ PQNA 4.5 · 93518630000</t>
        </is>
      </c>
      <c r="B25" t="inlineStr">
        <is>
          <t>93518630000</t>
        </is>
      </c>
      <c r="C25" t="n">
        <v>6</v>
      </c>
      <c r="D25" t="inlineStr">
        <is>
          <t>CHICKEN SOUP</t>
        </is>
      </c>
    </row>
    <row r="26">
      <c r="A26" t="inlineStr">
        <is>
          <t>CS CLASSIC POLLO P/ADULTO 4.5LB · 93511070000</t>
        </is>
      </c>
      <c r="B26" t="inlineStr">
        <is>
          <t>93511070000</t>
        </is>
      </c>
      <c r="C26" t="n">
        <v>6</v>
      </c>
      <c r="D26" t="inlineStr">
        <is>
          <t>CHICKEN SOUP</t>
        </is>
      </c>
    </row>
    <row r="27">
      <c r="A27" t="inlineStr">
        <is>
          <t>CS CLASSIC POLLO P/MATURE 4.5LB · 93511130000</t>
        </is>
      </c>
      <c r="B27" t="inlineStr">
        <is>
          <t>93511130000</t>
        </is>
      </c>
      <c r="C27" t="n">
        <v>6</v>
      </c>
      <c r="D27" t="inlineStr">
        <is>
          <t>CHICKEN SOUP</t>
        </is>
      </c>
    </row>
    <row r="28">
      <c r="A28" t="inlineStr">
        <is>
          <t>CS GATO CTRL PESO Y SENIOR 4.5LB · 93500000252</t>
        </is>
      </c>
      <c r="B28" t="inlineStr">
        <is>
          <t>93500000252</t>
        </is>
      </c>
      <c r="C28" t="n">
        <v>6</v>
      </c>
      <c r="D28" t="inlineStr">
        <is>
          <t>CHICKEN SOUP</t>
        </is>
      </c>
    </row>
    <row r="29">
      <c r="A29" t="inlineStr">
        <is>
          <t>CS GATO SALMON Y ARROZ 4.5LB · 93500000254</t>
        </is>
      </c>
      <c r="B29" t="inlineStr">
        <is>
          <t>93500000254</t>
        </is>
      </c>
      <c r="C29" t="n">
        <v>4</v>
      </c>
      <c r="D29" t="inlineStr">
        <is>
          <t>CHICKEN SOUP</t>
        </is>
      </c>
    </row>
    <row r="30">
      <c r="A30" t="inlineStr">
        <is>
          <t>CS GF PERRO POLLO, PESCADO 13OZ · 93500000258</t>
        </is>
      </c>
      <c r="B30" t="inlineStr">
        <is>
          <t>93500000258</t>
        </is>
      </c>
      <c r="C30" t="n">
        <v>1</v>
      </c>
      <c r="D30" t="inlineStr">
        <is>
          <t>CHICKEN SOUP</t>
        </is>
      </c>
    </row>
    <row r="31">
      <c r="A31" t="inlineStr">
        <is>
          <t>CS GRAIN FREE POLLO P/ GATOS 4LB · 93514590000</t>
        </is>
      </c>
      <c r="B31" t="inlineStr">
        <is>
          <t>93514590000</t>
        </is>
      </c>
      <c r="C31" t="n">
        <v>5</v>
      </c>
      <c r="D31" t="inlineStr">
        <is>
          <t>CHICKEN SOUP</t>
        </is>
      </c>
    </row>
    <row r="32">
      <c r="A32" t="inlineStr">
        <is>
          <t>CS PERR CTRL PESO ARROZ, POLLO, PAVO 4.5 · 93500000248</t>
        </is>
      </c>
      <c r="B32" t="inlineStr">
        <is>
          <t>93500000248</t>
        </is>
      </c>
      <c r="C32" t="n">
        <v>6</v>
      </c>
      <c r="D32" t="inlineStr">
        <is>
          <t>CHICKEN SOUP</t>
        </is>
      </c>
    </row>
    <row r="33">
      <c r="A33" t="inlineStr">
        <is>
          <t>CS SNACK CRUNCHY M MANI /PERRO 12OZ · 93514390000</t>
        </is>
      </c>
      <c r="B33" t="inlineStr">
        <is>
          <t>93514390000</t>
        </is>
      </c>
      <c r="C33" t="n">
        <v>4</v>
      </c>
      <c r="D33" t="inlineStr">
        <is>
          <t>CHICKEN SOUP</t>
        </is>
      </c>
    </row>
    <row r="34">
      <c r="A34" t="inlineStr">
        <is>
          <t>CS SNACK CRUNCHY POLLO P/PERRO 12OZ · 93511270000</t>
        </is>
      </c>
      <c r="B34" t="inlineStr">
        <is>
          <t>93511270000</t>
        </is>
      </c>
      <c r="C34" t="n">
        <v>6</v>
      </c>
      <c r="D34" t="inlineStr">
        <is>
          <t>CHICKEN SOUP</t>
        </is>
      </c>
    </row>
    <row r="35">
      <c r="A35" t="inlineStr">
        <is>
          <t>CS SNACK CRUNCHY TOCINO /PERRO 12OZ · 93514380000</t>
        </is>
      </c>
      <c r="B35" t="inlineStr">
        <is>
          <t>93514380000</t>
        </is>
      </c>
      <c r="C35" t="n">
        <v>8</v>
      </c>
      <c r="D35" t="inlineStr">
        <is>
          <t>CHICKEN SOUP</t>
        </is>
      </c>
    </row>
    <row r="36">
      <c r="A36" t="inlineStr">
        <is>
          <t>CS SNACK SAVORY CARNE P/PERRO 6OZ · 93514410000</t>
        </is>
      </c>
      <c r="B36" t="inlineStr">
        <is>
          <t>93514410000</t>
        </is>
      </c>
      <c r="C36" t="n">
        <v>5</v>
      </c>
      <c r="D36" t="inlineStr">
        <is>
          <t>CHICKEN SOUP</t>
        </is>
      </c>
    </row>
    <row r="37">
      <c r="A37" t="inlineStr">
        <is>
          <t>CS SNACK SAVORY POLLO P/PERRO 6OZ · 93514420000</t>
        </is>
      </c>
      <c r="B37" t="inlineStr">
        <is>
          <t>93514420000</t>
        </is>
      </c>
      <c r="C37" t="n">
        <v>6</v>
      </c>
      <c r="D37" t="inlineStr">
        <is>
          <t>CHICKEN SOUP</t>
        </is>
      </c>
    </row>
    <row r="38">
      <c r="A38" t="inlineStr">
        <is>
          <t>CS SNACK SAVORY STICKS CARNE 5OZ · 93514660000</t>
        </is>
      </c>
      <c r="B38" t="inlineStr">
        <is>
          <t>93514660000</t>
        </is>
      </c>
      <c r="C38" t="n">
        <v>6</v>
      </c>
      <c r="D38" t="inlineStr">
        <is>
          <t>CHICKEN SOUP</t>
        </is>
      </c>
    </row>
    <row r="39">
      <c r="A39" t="inlineStr">
        <is>
          <t>CS SNACK SAVORY STICKS PATO 5OZ · 93514680000</t>
        </is>
      </c>
      <c r="B39" t="inlineStr">
        <is>
          <t>93514680000</t>
        </is>
      </c>
      <c r="C39" t="n">
        <v>5</v>
      </c>
      <c r="D39" t="inlineStr">
        <is>
          <t>CHICKEN SOUP</t>
        </is>
      </c>
    </row>
    <row r="40">
      <c r="A40" t="inlineStr">
        <is>
          <t>CS SNACK SAVORY STICKS POLLO 5OZ · 93514650000</t>
        </is>
      </c>
      <c r="B40" t="inlineStr">
        <is>
          <t>93514650000</t>
        </is>
      </c>
      <c r="C40" t="n">
        <v>6</v>
      </c>
      <c r="D40" t="inlineStr">
        <is>
          <t>CHICKEN SOUP</t>
        </is>
      </c>
    </row>
    <row r="41">
      <c r="A41" t="inlineStr">
        <is>
          <t>CS SNACK SAVORY STICKS TOCINO 5OZ · 93514670000</t>
        </is>
      </c>
      <c r="B41" t="inlineStr">
        <is>
          <t>93514670000</t>
        </is>
      </c>
      <c r="C41" t="n">
        <v>4</v>
      </c>
      <c r="D41" t="inlineStr">
        <is>
          <t>CHICKEN SOUP</t>
        </is>
      </c>
    </row>
    <row r="42">
      <c r="A42" t="inlineStr">
        <is>
          <t>EP SNACK DENTAL POLLO P/GATO 3OZ · 93509210000</t>
        </is>
      </c>
      <c r="B42" t="inlineStr">
        <is>
          <t>93509210000</t>
        </is>
      </c>
      <c r="C42" t="n">
        <v>1</v>
      </c>
      <c r="D42" t="inlineStr">
        <is>
          <t>EMERALD</t>
        </is>
      </c>
    </row>
    <row r="43">
      <c r="A43" t="inlineStr">
        <is>
          <t>EP SNACK PUMPKIN HARVEST MANZANA 6OZ · 93500000505</t>
        </is>
      </c>
      <c r="B43" t="inlineStr">
        <is>
          <t>93500000505</t>
        </is>
      </c>
      <c r="C43" t="n">
        <v>1</v>
      </c>
      <c r="D43" t="inlineStr">
        <is>
          <t>EMERALD</t>
        </is>
      </c>
    </row>
    <row r="44">
      <c r="A44" t="inlineStr">
        <is>
          <t>D ERA SYBARITE LATA ATUN/CERDO 400G · 93519110000</t>
        </is>
      </c>
      <c r="B44" t="inlineStr">
        <is>
          <t>93519110000</t>
        </is>
      </c>
      <c r="C44" t="n">
        <v>17</v>
      </c>
      <c r="D44" t="inlineStr">
        <is>
          <t>ERA</t>
        </is>
      </c>
    </row>
    <row r="45">
      <c r="A45" t="inlineStr">
        <is>
          <t>ERA SYBARITE LATA CACHORROS 400G · 93519090000</t>
        </is>
      </c>
      <c r="B45" t="inlineStr">
        <is>
          <t>93519090000</t>
        </is>
      </c>
      <c r="C45" t="n">
        <v>15</v>
      </c>
      <c r="D45" t="inlineStr">
        <is>
          <t>ERA</t>
        </is>
      </c>
    </row>
    <row r="46">
      <c r="A46" t="inlineStr">
        <is>
          <t>ERA SYBARITE LATAPOLLO/PESCADO 400G · 93519100000</t>
        </is>
      </c>
      <c r="B46" t="inlineStr">
        <is>
          <t>93519100000</t>
        </is>
      </c>
      <c r="C46" t="n">
        <v>5</v>
      </c>
      <c r="D46" t="inlineStr">
        <is>
          <t>ERA</t>
        </is>
      </c>
    </row>
    <row r="47">
      <c r="A47" t="inlineStr">
        <is>
          <t>ESBILAC LECHE EN POLVO 12 ONZ · 90311050000</t>
        </is>
      </c>
      <c r="B47" t="inlineStr">
        <is>
          <t>90311050000</t>
        </is>
      </c>
      <c r="C47" t="n">
        <v>12</v>
      </c>
      <c r="D47" t="inlineStr">
        <is>
          <t>ESBILAC</t>
        </is>
      </c>
    </row>
    <row r="48">
      <c r="A48" t="inlineStr">
        <is>
          <t>PA VITAM/MINERALES GEL P/GATO · 90330330000</t>
        </is>
      </c>
      <c r="B48" t="inlineStr">
        <is>
          <t>90330330000</t>
        </is>
      </c>
      <c r="C48" t="n">
        <v>4</v>
      </c>
      <c r="D48" t="inlineStr">
        <is>
          <t>ESBILAC</t>
        </is>
      </c>
    </row>
    <row r="49">
      <c r="A49" t="inlineStr">
        <is>
          <t>PA VITAMINA EN GEL CALORIAS P/GATO · 90330310000</t>
        </is>
      </c>
      <c r="B49" t="inlineStr">
        <is>
          <t>90330310000</t>
        </is>
      </c>
      <c r="C49" t="n">
        <v>6</v>
      </c>
      <c r="D49" t="inlineStr">
        <is>
          <t>ESBILAC</t>
        </is>
      </c>
    </row>
    <row r="50">
      <c r="A50" t="inlineStr">
        <is>
          <t>PA VITAMINA EN GEL CALORIAS P/PERRO · 90330290000</t>
        </is>
      </c>
      <c r="B50" t="inlineStr">
        <is>
          <t>90330290000</t>
        </is>
      </c>
      <c r="C50" t="n">
        <v>3</v>
      </c>
      <c r="D50" t="inlineStr">
        <is>
          <t>ESBILAC</t>
        </is>
      </c>
    </row>
    <row r="51">
      <c r="A51" t="inlineStr">
        <is>
          <t>PETLAC LECHE EN POLVO P/PERROS 10.5 · 93519360000</t>
        </is>
      </c>
      <c r="B51" t="inlineStr">
        <is>
          <t>93519360000</t>
        </is>
      </c>
      <c r="C51" t="n">
        <v>3</v>
      </c>
      <c r="D51" t="inlineStr">
        <is>
          <t>ESBILAC</t>
        </is>
      </c>
    </row>
    <row r="52">
      <c r="A52" t="inlineStr">
        <is>
          <t>SUPL EN POLVO LECHE DE CABRA 12OZ · 90308700000</t>
        </is>
      </c>
      <c r="B52" t="inlineStr">
        <is>
          <t>90308700000</t>
        </is>
      </c>
      <c r="C52" t="n">
        <v>11</v>
      </c>
      <c r="D52" t="inlineStr">
        <is>
          <t>ESBILAC</t>
        </is>
      </c>
    </row>
    <row r="53">
      <c r="A53" t="inlineStr">
        <is>
          <t>GM COUNT NAT ESTOMAG SENSIBLE/ PERRO 4LB · 93500000142</t>
        </is>
      </c>
      <c r="B53" t="inlineStr">
        <is>
          <t>93500000142</t>
        </is>
      </c>
      <c r="C53" t="n">
        <v>5</v>
      </c>
      <c r="D53" t="inlineStr">
        <is>
          <t>GRANDMA MAE'S</t>
        </is>
      </c>
    </row>
    <row r="54">
      <c r="A54" t="inlineStr">
        <is>
          <t>SD ADULTO ESTOMAGO/PIEL SENSIBLE 4LB · 93507510001</t>
        </is>
      </c>
      <c r="B54" t="inlineStr">
        <is>
          <t>93507510001</t>
        </is>
      </c>
      <c r="C54" t="n">
        <v>1</v>
      </c>
      <c r="D54" t="inlineStr">
        <is>
          <t>HILL'S</t>
        </is>
      </c>
    </row>
    <row r="55">
      <c r="A55" t="inlineStr">
        <is>
          <t>SD FELINE GATITO 3.5LB · 90303640000</t>
        </is>
      </c>
      <c r="B55" t="inlineStr">
        <is>
          <t>90303640000</t>
        </is>
      </c>
      <c r="C55" t="n">
        <v>1</v>
      </c>
      <c r="D55" t="inlineStr">
        <is>
          <t>HILL'S</t>
        </is>
      </c>
    </row>
    <row r="56">
      <c r="A56" t="inlineStr">
        <is>
          <t>MIRRAPEL CACHORROS 120 ML · 90322660000</t>
        </is>
      </c>
      <c r="B56" t="inlineStr">
        <is>
          <t>90322660000</t>
        </is>
      </c>
      <c r="C56" t="n">
        <v>13</v>
      </c>
      <c r="D56" t="inlineStr">
        <is>
          <t>MIRRAPEL</t>
        </is>
      </c>
    </row>
    <row r="57">
      <c r="A57" t="inlineStr">
        <is>
          <t>MIRRAPEL CACHORROS 236 ML · 90322670000</t>
        </is>
      </c>
      <c r="B57" t="inlineStr">
        <is>
          <t>90322670000</t>
        </is>
      </c>
      <c r="C57" t="n">
        <v>35</v>
      </c>
      <c r="D57" t="inlineStr">
        <is>
          <t>MIRRAPEL</t>
        </is>
      </c>
    </row>
    <row r="58">
      <c r="A58" t="inlineStr">
        <is>
          <t>MIRRAPEL OLEOSO 120 ML · 90322650000</t>
        </is>
      </c>
      <c r="B58" t="inlineStr">
        <is>
          <t>90322650000</t>
        </is>
      </c>
      <c r="C58" t="n">
        <v>20</v>
      </c>
      <c r="D58" t="inlineStr">
        <is>
          <t>MIRRAPEL</t>
        </is>
      </c>
    </row>
    <row r="59">
      <c r="A59" t="inlineStr">
        <is>
          <t>MIRRAPEL OLEOSO 236 ML · 90322640000</t>
        </is>
      </c>
      <c r="B59" t="inlineStr">
        <is>
          <t>90322640000</t>
        </is>
      </c>
      <c r="C59" t="n">
        <v>6</v>
      </c>
      <c r="D59" t="inlineStr">
        <is>
          <t>MIRRAPEL</t>
        </is>
      </c>
    </row>
    <row r="60">
      <c r="A60" t="inlineStr">
        <is>
          <t>MIRRAPEL PET POLVO 300 g · 90301720000</t>
        </is>
      </c>
      <c r="B60" t="inlineStr">
        <is>
          <t>90301720000</t>
        </is>
      </c>
      <c r="C60" t="n">
        <v>7</v>
      </c>
      <c r="D60" t="inlineStr">
        <is>
          <t>MIRRAPEL</t>
        </is>
      </c>
    </row>
    <row r="61">
      <c r="A61" t="inlineStr">
        <is>
          <t>SOLLA NUTRECAN ADULTOS RM Y RG 2KG · 93505920000</t>
        </is>
      </c>
      <c r="B61" t="inlineStr">
        <is>
          <t>93505920000</t>
        </is>
      </c>
      <c r="C61" t="n">
        <v>5</v>
      </c>
      <c r="D61" t="inlineStr">
        <is>
          <t>NUTRECAN</t>
        </is>
      </c>
    </row>
    <row r="62">
      <c r="A62" t="inlineStr">
        <is>
          <t>SOLLA NUTRECAN BABIES 2 KG · 90410730000</t>
        </is>
      </c>
      <c r="B62" t="inlineStr">
        <is>
          <t>90410730000</t>
        </is>
      </c>
      <c r="C62" t="n">
        <v>7</v>
      </c>
      <c r="D62" t="inlineStr">
        <is>
          <t>NUTRECAN</t>
        </is>
      </c>
    </row>
    <row r="63">
      <c r="A63" t="inlineStr">
        <is>
          <t>SOLLA NUTRECAN CAMPO 2KG · 90415960000</t>
        </is>
      </c>
      <c r="B63" t="inlineStr">
        <is>
          <t>90415960000</t>
        </is>
      </c>
      <c r="C63" t="n">
        <v>1</v>
      </c>
      <c r="D63" t="inlineStr">
        <is>
          <t>NUTRECAN</t>
        </is>
      </c>
    </row>
    <row r="64">
      <c r="A64" t="inlineStr">
        <is>
          <t>SOLLA NUTRECAN LIGHT 2KG · 93510840000</t>
        </is>
      </c>
      <c r="B64" t="inlineStr">
        <is>
          <t>93510840000</t>
        </is>
      </c>
      <c r="C64" t="n">
        <v>2</v>
      </c>
      <c r="D64" t="inlineStr">
        <is>
          <t>NUTRECAN</t>
        </is>
      </c>
    </row>
    <row r="65">
      <c r="A65" t="inlineStr">
        <is>
          <t>D NV ARTHRISOOTHE TABLETA 40UD · 90327320000</t>
        </is>
      </c>
      <c r="B65" t="inlineStr">
        <is>
          <t>90327320000</t>
        </is>
      </c>
      <c r="C65" t="n">
        <v>1</v>
      </c>
      <c r="D65" t="inlineStr">
        <is>
          <t>NUTRI-VET</t>
        </is>
      </c>
    </row>
    <row r="66">
      <c r="A66" t="inlineStr">
        <is>
          <t>D NV EXTRA SOPORTE/ARTICULACION 250U · 90328330000</t>
        </is>
      </c>
      <c r="B66" t="inlineStr">
        <is>
          <t>90328330000</t>
        </is>
      </c>
      <c r="C66" t="n">
        <v>21</v>
      </c>
      <c r="D66" t="inlineStr">
        <is>
          <t>NUTRI-VET</t>
        </is>
      </c>
    </row>
    <row r="67">
      <c r="A67" t="inlineStr">
        <is>
          <t>D NV PASTILLA MASTICABLE P/VEJIGA 60U · 93518700000</t>
        </is>
      </c>
      <c r="B67" t="inlineStr">
        <is>
          <t>93518700000</t>
        </is>
      </c>
      <c r="C67" t="n">
        <v>14</v>
      </c>
      <c r="D67" t="inlineStr">
        <is>
          <t>NUTRI-VET</t>
        </is>
      </c>
    </row>
    <row r="68">
      <c r="A68" t="inlineStr">
        <is>
          <t>D NV SUPLEMENTO ANTI COPROFAGIA 500 · 90328650000</t>
        </is>
      </c>
      <c r="B68" t="inlineStr">
        <is>
          <t>90328650000</t>
        </is>
      </c>
      <c r="C68" t="n">
        <v>3</v>
      </c>
      <c r="D68" t="inlineStr">
        <is>
          <t>NUTRI-VET</t>
        </is>
      </c>
    </row>
    <row r="69">
      <c r="A69" t="inlineStr">
        <is>
          <t>D NV SUPLEMENTO TRANQUILIZANTE 180 UD · 93518710000</t>
        </is>
      </c>
      <c r="B69" t="inlineStr">
        <is>
          <t>93518710000</t>
        </is>
      </c>
      <c r="C69" t="n">
        <v>4</v>
      </c>
      <c r="D69" t="inlineStr">
        <is>
          <t>NUTRI-VET</t>
        </is>
      </c>
    </row>
    <row r="70">
      <c r="A70" t="inlineStr">
        <is>
          <t>D NV TABLET PERR SENIOR MALESTAR/DOL · 90328760000</t>
        </is>
      </c>
      <c r="B70" t="inlineStr">
        <is>
          <t>90328760000</t>
        </is>
      </c>
      <c r="C70" t="n">
        <v>10</v>
      </c>
      <c r="D70" t="inlineStr">
        <is>
          <t>NUTRI-VET</t>
        </is>
      </c>
    </row>
    <row r="71">
      <c r="A71" t="inlineStr">
        <is>
          <t>D NV VITAMINAS LEVADURA/AJO 100UD · 90327410000</t>
        </is>
      </c>
      <c r="B71" t="inlineStr">
        <is>
          <t>90327410000</t>
        </is>
      </c>
      <c r="C71" t="n">
        <v>2</v>
      </c>
      <c r="D71" t="inlineStr">
        <is>
          <t>NUTRI-VET</t>
        </is>
      </c>
    </row>
    <row r="72">
      <c r="A72" t="inlineStr">
        <is>
          <t>NV ENZIMAS DIGESTIVAS P/PERROS 70UD · 90327670000</t>
        </is>
      </c>
      <c r="B72" t="inlineStr">
        <is>
          <t>90327670000</t>
        </is>
      </c>
      <c r="C72" t="n">
        <v>4</v>
      </c>
      <c r="D72" t="inlineStr">
        <is>
          <t>NUTRI-VET</t>
        </is>
      </c>
    </row>
    <row r="73">
      <c r="A73" t="inlineStr">
        <is>
          <t>NV GLUCOSAMINA MASTICABLE NIVEL 2 · 90328050000</t>
        </is>
      </c>
      <c r="B73" t="inlineStr">
        <is>
          <t>90328050000</t>
        </is>
      </c>
      <c r="C73" t="n">
        <v>2</v>
      </c>
      <c r="D73" t="inlineStr">
        <is>
          <t>NUTRI-VET</t>
        </is>
      </c>
    </row>
    <row r="74">
      <c r="A74" t="inlineStr">
        <is>
          <t>NV HIP N JOINT MASTICABLE 120UD · 90328300000</t>
        </is>
      </c>
      <c r="B74" t="inlineStr">
        <is>
          <t>90328300000</t>
        </is>
      </c>
      <c r="C74" t="n">
        <v>7</v>
      </c>
      <c r="D74" t="inlineStr">
        <is>
          <t>NUTRI-VET</t>
        </is>
      </c>
    </row>
    <row r="75">
      <c r="A75" t="inlineStr">
        <is>
          <t>NV PAST MAST CON ARANDANO P/PERRO60 · 90327640000</t>
        </is>
      </c>
      <c r="B75" t="inlineStr">
        <is>
          <t>90327640000</t>
        </is>
      </c>
      <c r="C75" t="n">
        <v>6</v>
      </c>
      <c r="D75" t="inlineStr">
        <is>
          <t>NUTRI-VET</t>
        </is>
      </c>
    </row>
    <row r="76">
      <c r="A76" t="inlineStr">
        <is>
          <t>NV TRANQUILIZANTE MAST P/GATOS 60UD · 90328700000</t>
        </is>
      </c>
      <c r="B76" t="inlineStr">
        <is>
          <t>90328700000</t>
        </is>
      </c>
      <c r="C76" t="n">
        <v>5</v>
      </c>
      <c r="D76" t="inlineStr">
        <is>
          <t>NUTRI-VET</t>
        </is>
      </c>
    </row>
    <row r="77">
      <c r="A77" t="inlineStr">
        <is>
          <t>NV VITAMINA P/CACHORRO ALIENTO 70 U · 90328840000</t>
        </is>
      </c>
      <c r="B77" t="inlineStr">
        <is>
          <t>90328840000</t>
        </is>
      </c>
      <c r="C77" t="n">
        <v>5</v>
      </c>
      <c r="D77" t="inlineStr">
        <is>
          <t>NUTRI-VET</t>
        </is>
      </c>
    </row>
    <row r="78">
      <c r="A78" t="inlineStr">
        <is>
          <t>NS CACHORRO RZ GDE GF 12LB · 93500000457</t>
        </is>
      </c>
      <c r="B78" t="inlineStr">
        <is>
          <t>93500000457</t>
        </is>
      </c>
      <c r="C78" t="n">
        <v>3</v>
      </c>
      <c r="D78" t="inlineStr">
        <is>
          <t>NUTRISOURCE</t>
        </is>
      </c>
    </row>
    <row r="79">
      <c r="A79" t="inlineStr">
        <is>
          <t>NS CACHORRO RZ GDE GF 4LB · 93500000458</t>
        </is>
      </c>
      <c r="B79" t="inlineStr">
        <is>
          <t>93500000458</t>
        </is>
      </c>
      <c r="C79" t="n">
        <v>6</v>
      </c>
      <c r="D79" t="inlineStr">
        <is>
          <t>NUTRISOURCE</t>
        </is>
      </c>
    </row>
    <row r="80">
      <c r="A80" t="inlineStr">
        <is>
          <t>NS CACHORRO RZ GDE POLLO Y ARROZ 12LB · 93500000428</t>
        </is>
      </c>
      <c r="B80" t="inlineStr">
        <is>
          <t>93500000428</t>
        </is>
      </c>
      <c r="C80" t="n">
        <v>1</v>
      </c>
      <c r="D80" t="inlineStr">
        <is>
          <t>NUTRISOURCE</t>
        </is>
      </c>
    </row>
    <row r="81">
      <c r="A81" t="inlineStr">
        <is>
          <t>NS CACHORRO RZ GDE POLLO Y ARROZ 4LB · 93500000429</t>
        </is>
      </c>
      <c r="B81" t="inlineStr">
        <is>
          <t>93500000429</t>
        </is>
      </c>
      <c r="C81" t="n">
        <v>4</v>
      </c>
      <c r="D81" t="inlineStr">
        <is>
          <t>NUTRISOURCE</t>
        </is>
      </c>
    </row>
    <row r="82">
      <c r="A82" t="inlineStr">
        <is>
          <t>NS CACHORRO RZ PQNA Y MED GF 4LB · 93500000461</t>
        </is>
      </c>
      <c r="B82" t="inlineStr">
        <is>
          <t>93500000461</t>
        </is>
      </c>
      <c r="C82" t="n">
        <v>5</v>
      </c>
      <c r="D82" t="inlineStr">
        <is>
          <t>NUTRISOURCE</t>
        </is>
      </c>
    </row>
    <row r="83">
      <c r="A83" t="inlineStr">
        <is>
          <t>NS CTRL PESO PERRO POLLO 12LB · 93500000416</t>
        </is>
      </c>
      <c r="B83" t="inlineStr">
        <is>
          <t>93500000416</t>
        </is>
      </c>
      <c r="C83" t="n">
        <v>2</v>
      </c>
      <c r="D83" t="inlineStr">
        <is>
          <t>NUTRISOURCE</t>
        </is>
      </c>
    </row>
    <row r="84">
      <c r="A84" t="inlineStr">
        <is>
          <t>NS GATO Y GATITO POLLO SALMON HIGADO 4 · 93500000479</t>
        </is>
      </c>
      <c r="B84" t="inlineStr">
        <is>
          <t>93500000479</t>
        </is>
      </c>
      <c r="C84" t="n">
        <v>5</v>
      </c>
      <c r="D84" t="inlineStr">
        <is>
          <t>NUTRISOURCE</t>
        </is>
      </c>
    </row>
    <row r="85">
      <c r="A85" t="inlineStr">
        <is>
          <t>NS GATO Y GATITO POLLO Y ARROZ 4LB · 93500000477</t>
        </is>
      </c>
      <c r="B85" t="inlineStr">
        <is>
          <t>93500000477</t>
        </is>
      </c>
      <c r="C85" t="n">
        <v>5</v>
      </c>
      <c r="D85" t="inlineStr">
        <is>
          <t>NUTRISOURCE</t>
        </is>
      </c>
    </row>
    <row r="86">
      <c r="A86" t="inlineStr">
        <is>
          <t>NS LATA CACHORRO POLLO 13OZ · 93500000469</t>
        </is>
      </c>
      <c r="B86" t="inlineStr">
        <is>
          <t>93500000469</t>
        </is>
      </c>
      <c r="C86" t="n">
        <v>4</v>
      </c>
      <c r="D86" t="inlineStr">
        <is>
          <t>NUTRISOURCE</t>
        </is>
      </c>
    </row>
    <row r="87">
      <c r="A87" t="inlineStr">
        <is>
          <t>NS LATA CACHORRO RZ PQNA Y MED 5.5OZ · 93500000471</t>
        </is>
      </c>
      <c r="B87" t="inlineStr">
        <is>
          <t>93500000471</t>
        </is>
      </c>
      <c r="C87" t="n">
        <v>13</v>
      </c>
      <c r="D87" t="inlineStr">
        <is>
          <t>NUTRISOURCE</t>
        </is>
      </c>
    </row>
    <row r="88">
      <c r="A88" t="inlineStr">
        <is>
          <t>NS LATA GATO GATITO POLL PAV CORD PESC 5 · 93500000488</t>
        </is>
      </c>
      <c r="B88" t="inlineStr">
        <is>
          <t>93500000488</t>
        </is>
      </c>
      <c r="C88" t="n">
        <v>19</v>
      </c>
      <c r="D88" t="inlineStr">
        <is>
          <t>NUTRISOURCE</t>
        </is>
      </c>
    </row>
    <row r="89">
      <c r="A89" t="inlineStr">
        <is>
          <t>NS LATA GATO GATITO POLLO 5.5 OZ · 93500000486</t>
        </is>
      </c>
      <c r="B89" t="inlineStr">
        <is>
          <t>93500000486</t>
        </is>
      </c>
      <c r="C89" t="n">
        <v>24</v>
      </c>
      <c r="D89" t="inlineStr">
        <is>
          <t>NUTRISOURCE</t>
        </is>
      </c>
    </row>
    <row r="90">
      <c r="A90" t="inlineStr">
        <is>
          <t>NS LATA GATO GATITO POLLO PAVO CORDERO 5 · 93500000487</t>
        </is>
      </c>
      <c r="B90" t="inlineStr">
        <is>
          <t>93500000487</t>
        </is>
      </c>
      <c r="C90" t="n">
        <v>18</v>
      </c>
      <c r="D90" t="inlineStr">
        <is>
          <t>NUTRISOURCE</t>
        </is>
      </c>
    </row>
    <row r="91">
      <c r="A91" t="inlineStr">
        <is>
          <t>NS LATA GF PERRO MARISCOS 13OZ · 93500000475</t>
        </is>
      </c>
      <c r="B91" t="inlineStr">
        <is>
          <t>93500000475</t>
        </is>
      </c>
      <c r="C91" t="n">
        <v>19</v>
      </c>
      <c r="D91" t="inlineStr">
        <is>
          <t>NUTRISOURCE</t>
        </is>
      </c>
    </row>
    <row r="92">
      <c r="A92" t="inlineStr">
        <is>
          <t>NS LATA GF PERRO POLLO 13OZ · 93500000472</t>
        </is>
      </c>
      <c r="B92" t="inlineStr">
        <is>
          <t>93500000472</t>
        </is>
      </c>
      <c r="C92" t="n">
        <v>4</v>
      </c>
      <c r="D92" t="inlineStr">
        <is>
          <t>NUTRISOURCE</t>
        </is>
      </c>
    </row>
    <row r="93">
      <c r="A93" t="inlineStr">
        <is>
          <t>NS LATA PERRO CORDERO 13OZ · 93500000468</t>
        </is>
      </c>
      <c r="B93" t="inlineStr">
        <is>
          <t>93500000468</t>
        </is>
      </c>
      <c r="C93" t="n">
        <v>14</v>
      </c>
      <c r="D93" t="inlineStr">
        <is>
          <t>NUTRISOURCE</t>
        </is>
      </c>
    </row>
    <row r="94">
      <c r="A94" t="inlineStr">
        <is>
          <t>NS LATA PERRO CORDERO Y PESCADO 13OZ · 93500000467</t>
        </is>
      </c>
      <c r="B94" t="inlineStr">
        <is>
          <t>93500000467</t>
        </is>
      </c>
      <c r="C94" t="n">
        <v>10</v>
      </c>
      <c r="D94" t="inlineStr">
        <is>
          <t>NUTRISOURCE</t>
        </is>
      </c>
    </row>
    <row r="95">
      <c r="A95" t="inlineStr">
        <is>
          <t>NS LATA PERRO GF HEARTLAND SELECT 13OZ · 93500000473</t>
        </is>
      </c>
      <c r="B95" t="inlineStr">
        <is>
          <t>93500000473</t>
        </is>
      </c>
      <c r="C95" t="n">
        <v>15</v>
      </c>
      <c r="D95" t="inlineStr">
        <is>
          <t>NUTRISOURCE</t>
        </is>
      </c>
    </row>
    <row r="96">
      <c r="A96" t="inlineStr">
        <is>
          <t>NS LATA PERRO POLLO Y ARROZ 13OZ · 93500000466</t>
        </is>
      </c>
      <c r="B96" t="inlineStr">
        <is>
          <t>93500000466</t>
        </is>
      </c>
      <c r="C96" t="n">
        <v>2</v>
      </c>
      <c r="D96" t="inlineStr">
        <is>
          <t>NUTRISOURCE</t>
        </is>
      </c>
    </row>
    <row r="97">
      <c r="A97" t="inlineStr">
        <is>
          <t>NS PERRO ADULT POLLO Y ARROZ 12LB · 93500000419</t>
        </is>
      </c>
      <c r="B97" t="inlineStr">
        <is>
          <t>93500000419</t>
        </is>
      </c>
      <c r="C97" t="n">
        <v>1</v>
      </c>
      <c r="D97" t="inlineStr">
        <is>
          <t>NUTRISOURCE</t>
        </is>
      </c>
    </row>
    <row r="98">
      <c r="A98" t="inlineStr">
        <is>
          <t>NS PERRO ADULT POLLO Y ARROZ 4LB · 93500000420</t>
        </is>
      </c>
      <c r="B98" t="inlineStr">
        <is>
          <t>93500000420</t>
        </is>
      </c>
      <c r="C98" t="n">
        <v>5</v>
      </c>
      <c r="D98" t="inlineStr">
        <is>
          <t>NUTRISOURCE</t>
        </is>
      </c>
    </row>
    <row r="99">
      <c r="A99" t="inlineStr">
        <is>
          <t>NS PERRO ADULTO SMB POLLO Y ARROZ 12LB · 93500000421</t>
        </is>
      </c>
      <c r="B99" t="inlineStr">
        <is>
          <t>93500000421</t>
        </is>
      </c>
      <c r="C99" t="n">
        <v>2</v>
      </c>
      <c r="D99" t="inlineStr">
        <is>
          <t>NUTRISOURCE</t>
        </is>
      </c>
    </row>
    <row r="100">
      <c r="A100" t="inlineStr">
        <is>
          <t>NS PERRO ADULTO SMB POLLO Y ARROZ 4LB · 93500000422</t>
        </is>
      </c>
      <c r="B100" t="inlineStr">
        <is>
          <t>93500000422</t>
        </is>
      </c>
      <c r="C100" t="n">
        <v>1</v>
      </c>
      <c r="D100" t="inlineStr">
        <is>
          <t>NUTRISOURCE</t>
        </is>
      </c>
    </row>
    <row r="101">
      <c r="A101" t="inlineStr">
        <is>
          <t>NS PERRO CORDERO Y ARROZ 12LB · 93500000434</t>
        </is>
      </c>
      <c r="B101" t="inlineStr">
        <is>
          <t>93500000434</t>
        </is>
      </c>
      <c r="C101" t="n">
        <v>2</v>
      </c>
      <c r="D101" t="inlineStr">
        <is>
          <t>NUTRISOURCE</t>
        </is>
      </c>
    </row>
    <row r="102">
      <c r="A102" t="inlineStr">
        <is>
          <t>NS PERRO CORDERO Y ARROZ 26LB · 93500000436</t>
        </is>
      </c>
      <c r="B102" t="inlineStr">
        <is>
          <t>93500000436</t>
        </is>
      </c>
      <c r="C102" t="n">
        <v>1</v>
      </c>
      <c r="D102" t="inlineStr">
        <is>
          <t>NUTRISOURCE</t>
        </is>
      </c>
    </row>
    <row r="103">
      <c r="A103" t="inlineStr">
        <is>
          <t>NS PERRO CORDERO Y ARROZ 4LB · 93500000435</t>
        </is>
      </c>
      <c r="B103" t="inlineStr">
        <is>
          <t>93500000435</t>
        </is>
      </c>
      <c r="C103" t="n">
        <v>2</v>
      </c>
      <c r="D103" t="inlineStr">
        <is>
          <t>NUTRISOURCE</t>
        </is>
      </c>
    </row>
    <row r="104">
      <c r="A104" t="inlineStr">
        <is>
          <t>NS PERRO CTRL PESO GF 12LB · 93500000451</t>
        </is>
      </c>
      <c r="B104" t="inlineStr">
        <is>
          <t>93500000451</t>
        </is>
      </c>
      <c r="C104" t="n">
        <v>2</v>
      </c>
      <c r="D104" t="inlineStr">
        <is>
          <t>NUTRISOURCE</t>
        </is>
      </c>
    </row>
    <row r="105">
      <c r="A105" t="inlineStr">
        <is>
          <t>NS PERRO CTRL PESO GF 4LB · 93500000452</t>
        </is>
      </c>
      <c r="B105" t="inlineStr">
        <is>
          <t>93500000452</t>
        </is>
      </c>
      <c r="C105" t="n">
        <v>2</v>
      </c>
      <c r="D105" t="inlineStr">
        <is>
          <t>NUTRISOURCE</t>
        </is>
      </c>
    </row>
    <row r="106">
      <c r="A106" t="inlineStr">
        <is>
          <t>NS PERRO GF CORDERO Y GUISANTES 4LB · 93500000445</t>
        </is>
      </c>
      <c r="B106" t="inlineStr">
        <is>
          <t>93500000445</t>
        </is>
      </c>
      <c r="C106" t="n">
        <v>2</v>
      </c>
      <c r="D106" t="inlineStr">
        <is>
          <t>NUTRISOURCE</t>
        </is>
      </c>
    </row>
    <row r="107">
      <c r="A107" t="inlineStr">
        <is>
          <t>NS PERRO GF MARISCOS 4LB · 93500000464</t>
        </is>
      </c>
      <c r="B107" t="inlineStr">
        <is>
          <t>93500000464</t>
        </is>
      </c>
      <c r="C107" t="n">
        <v>1</v>
      </c>
      <c r="D107" t="inlineStr">
        <is>
          <t>NUTRISOURCE</t>
        </is>
      </c>
    </row>
    <row r="108">
      <c r="A108" t="inlineStr">
        <is>
          <t>NS PERRO GF POLLO GUISANTE 12LB · 93500000441</t>
        </is>
      </c>
      <c r="B108" t="inlineStr">
        <is>
          <t>93500000441</t>
        </is>
      </c>
      <c r="C108" t="n">
        <v>2</v>
      </c>
      <c r="D108" t="inlineStr">
        <is>
          <t>NUTRISOURCE</t>
        </is>
      </c>
    </row>
    <row r="109">
      <c r="A109" t="inlineStr">
        <is>
          <t>NS PERRO GF POLLO Y GUISANTE 4LB · 93500000442</t>
        </is>
      </c>
      <c r="B109" t="inlineStr">
        <is>
          <t>93500000442</t>
        </is>
      </c>
      <c r="C109" t="n">
        <v>3</v>
      </c>
      <c r="D109" t="inlineStr">
        <is>
          <t>NUTRISOURCE</t>
        </is>
      </c>
    </row>
    <row r="110">
      <c r="A110" t="inlineStr">
        <is>
          <t>NS PERRO GF RZ PQNA POLLO GUISANTE 12L · 93500000449</t>
        </is>
      </c>
      <c r="B110" t="inlineStr">
        <is>
          <t>93500000449</t>
        </is>
      </c>
      <c r="C110" t="n">
        <v>2</v>
      </c>
      <c r="D110" t="inlineStr">
        <is>
          <t>NUTRISOURCE</t>
        </is>
      </c>
    </row>
    <row r="111">
      <c r="A111" t="inlineStr">
        <is>
          <t>NS PERRO GF RZ PQNA POLLO GUISANTE 4LB · 93500000450</t>
        </is>
      </c>
      <c r="B111" t="inlineStr">
        <is>
          <t>93500000450</t>
        </is>
      </c>
      <c r="C111" t="n">
        <v>1</v>
      </c>
      <c r="D111" t="inlineStr">
        <is>
          <t>NUTRISOURCE</t>
        </is>
      </c>
    </row>
    <row r="112">
      <c r="A112" t="inlineStr">
        <is>
          <t>NS PERRO PAVO Y ARROZ 12LB · 93500000438</t>
        </is>
      </c>
      <c r="B112" t="inlineStr">
        <is>
          <t>93500000438</t>
        </is>
      </c>
      <c r="C112" t="n">
        <v>2</v>
      </c>
      <c r="D112" t="inlineStr">
        <is>
          <t>NUTRISOURCE</t>
        </is>
      </c>
    </row>
    <row r="113">
      <c r="A113" t="inlineStr">
        <is>
          <t>NS PERRO PAVO Y ARROZ 4LB · 93500000439</t>
        </is>
      </c>
      <c r="B113" t="inlineStr">
        <is>
          <t>93500000439</t>
        </is>
      </c>
      <c r="C113" t="n">
        <v>7</v>
      </c>
      <c r="D113" t="inlineStr">
        <is>
          <t>NUTRISOURCE</t>
        </is>
      </c>
    </row>
    <row r="114">
      <c r="A114" t="inlineStr">
        <is>
          <t>NS PERRO SENIOR GF 12LB · 93500000454</t>
        </is>
      </c>
      <c r="B114" t="inlineStr">
        <is>
          <t>93500000454</t>
        </is>
      </c>
      <c r="C114" t="n">
        <v>3</v>
      </c>
      <c r="D114" t="inlineStr">
        <is>
          <t>NUTRISOURCE</t>
        </is>
      </c>
    </row>
    <row r="115">
      <c r="A115" t="inlineStr">
        <is>
          <t>NS PRAIRIE SELECT GF P PERROS 12LB · 90035700000</t>
        </is>
      </c>
      <c r="B115" t="inlineStr">
        <is>
          <t>90035700000</t>
        </is>
      </c>
      <c r="C115" t="n">
        <v>1</v>
      </c>
      <c r="D115" t="inlineStr">
        <is>
          <t>NUTRISOURCE</t>
        </is>
      </c>
    </row>
    <row r="116">
      <c r="A116" t="inlineStr">
        <is>
          <t>NS SENIOR POLLO Y ARROZ 4LB · 93500000432</t>
        </is>
      </c>
      <c r="B116" t="inlineStr">
        <is>
          <t>93500000432</t>
        </is>
      </c>
      <c r="C116" t="n">
        <v>1</v>
      </c>
      <c r="D116" t="inlineStr">
        <is>
          <t>NUTRISOURCE</t>
        </is>
      </c>
    </row>
    <row r="117">
      <c r="A117" t="inlineStr">
        <is>
          <t>NS SNACK ARÁNDANO Y ALMENDRA 6OZ · 93500000495</t>
        </is>
      </c>
      <c r="B117" t="inlineStr">
        <is>
          <t>93500000495</t>
        </is>
      </c>
      <c r="C117" t="n">
        <v>6</v>
      </c>
      <c r="D117" t="inlineStr">
        <is>
          <t>NUTRISOURCE</t>
        </is>
      </c>
    </row>
    <row r="118">
      <c r="A118" t="inlineStr">
        <is>
          <t>NS SNACK GF BOCADOS GDES CARNE 14OZ · 93500000496</t>
        </is>
      </c>
      <c r="B118" t="inlineStr">
        <is>
          <t>93500000496</t>
        </is>
      </c>
      <c r="C118" t="n">
        <v>6</v>
      </c>
      <c r="D118" t="inlineStr">
        <is>
          <t>NUTRISOURCE</t>
        </is>
      </c>
    </row>
    <row r="119">
      <c r="A119" t="inlineStr">
        <is>
          <t>NS SNACK GF PEQ BOCADOS CARNE 6OZ · 93500000494</t>
        </is>
      </c>
      <c r="B119" t="inlineStr">
        <is>
          <t>93500000494</t>
        </is>
      </c>
      <c r="C119" t="n">
        <v>6</v>
      </c>
      <c r="D119" t="inlineStr">
        <is>
          <t>NUTRISOURCE</t>
        </is>
      </c>
    </row>
    <row r="120">
      <c r="A120" t="inlineStr">
        <is>
          <t>NY SNACK DENTAL 1CT · 93500000332</t>
        </is>
      </c>
      <c r="B120" t="inlineStr">
        <is>
          <t>93500000332</t>
        </is>
      </c>
      <c r="C120" t="n">
        <v>21</v>
      </c>
      <c r="D120" t="inlineStr">
        <is>
          <t>NYLABONE</t>
        </is>
      </c>
    </row>
    <row r="121">
      <c r="A121" t="inlineStr">
        <is>
          <t>NY SNACK DENTAL FILET MIGNON 160U · 93504590000</t>
        </is>
      </c>
      <c r="B121" t="inlineStr">
        <is>
          <t>93504590000</t>
        </is>
      </c>
      <c r="C121" t="n">
        <v>6</v>
      </c>
      <c r="D121" t="inlineStr">
        <is>
          <t>NYLABONE</t>
        </is>
      </c>
    </row>
    <row r="122">
      <c r="A122" t="inlineStr">
        <is>
          <t>NY SNACK DENTAL FILET MIGNON SM28 · 93504600000</t>
        </is>
      </c>
      <c r="B122" t="inlineStr">
        <is>
          <t>93504600000</t>
        </is>
      </c>
      <c r="C122" t="n">
        <v>6</v>
      </c>
      <c r="D122" t="inlineStr">
        <is>
          <t>NYLABONE</t>
        </is>
      </c>
    </row>
    <row r="123">
      <c r="A123" t="inlineStr">
        <is>
          <t>NYLABONE HUESO PETITE CARNE ASADA · 93508280000</t>
        </is>
      </c>
      <c r="B123" t="inlineStr">
        <is>
          <t>93508280000</t>
        </is>
      </c>
      <c r="C123" t="n">
        <v>5</v>
      </c>
      <c r="D123" t="inlineStr">
        <is>
          <t>NYLABONE</t>
        </is>
      </c>
    </row>
    <row r="124">
      <c r="A124" t="inlineStr">
        <is>
          <t>NYLABONE HUESO PETITE SABOR TOCINO · 93508190000</t>
        </is>
      </c>
      <c r="B124" t="inlineStr">
        <is>
          <t>93508190000</t>
        </is>
      </c>
      <c r="C124" t="n">
        <v>1</v>
      </c>
      <c r="D124" t="inlineStr">
        <is>
          <t>NYLABONE</t>
        </is>
      </c>
    </row>
    <row r="125">
      <c r="A125" t="inlineStr">
        <is>
          <t>SD CANINE I/D 8.5 LB · 90304010000</t>
        </is>
      </c>
      <c r="B125" t="inlineStr">
        <is>
          <t>90304010000</t>
        </is>
      </c>
      <c r="C125" t="n">
        <v>1</v>
      </c>
      <c r="D125" t="inlineStr">
        <is>
          <t>PRESCRIPTION DIET</t>
        </is>
      </c>
    </row>
    <row r="126">
      <c r="A126" t="inlineStr">
        <is>
          <t>SD CANINE U/D DRY 8.5LB · 90304020000</t>
        </is>
      </c>
      <c r="B126" t="inlineStr">
        <is>
          <t>90304020000</t>
        </is>
      </c>
      <c r="C126" t="n">
        <v>2</v>
      </c>
      <c r="D126" t="inlineStr">
        <is>
          <t>PRESCRIPTION DIET</t>
        </is>
      </c>
    </row>
    <row r="127">
      <c r="A127" t="inlineStr">
        <is>
          <t>SD CANINE/FELINE A/D 5.5 OZ. · 90304470000</t>
        </is>
      </c>
      <c r="B127" t="inlineStr">
        <is>
          <t>90304470000</t>
        </is>
      </c>
      <c r="C127" t="n">
        <v>8</v>
      </c>
      <c r="D127" t="inlineStr">
        <is>
          <t>PRESCRIPTION DIET</t>
        </is>
      </c>
    </row>
    <row r="128">
      <c r="A128" t="inlineStr">
        <is>
          <t>SD LATA CANINE K/D12/ 13 OZ. · 90406540000</t>
        </is>
      </c>
      <c r="B128" t="inlineStr">
        <is>
          <t>90406540000</t>
        </is>
      </c>
      <c r="C128" t="n">
        <v>3</v>
      </c>
      <c r="D128" t="inlineStr">
        <is>
          <t>PRESCRIPTION DIET</t>
        </is>
      </c>
    </row>
    <row r="129">
      <c r="A129" t="inlineStr">
        <is>
          <t>SD LATA CANINE L/D12/ 13 OZ. · 90406480000</t>
        </is>
      </c>
      <c r="B129" t="inlineStr">
        <is>
          <t>90406480000</t>
        </is>
      </c>
      <c r="C129" t="n">
        <v>5</v>
      </c>
      <c r="D129" t="inlineStr">
        <is>
          <t>PRESCRIPTION DIET</t>
        </is>
      </c>
    </row>
    <row r="130">
      <c r="A130" t="inlineStr">
        <is>
          <t>SD LATA CANINE W/D12/13OZ · 90406510000</t>
        </is>
      </c>
      <c r="B130" t="inlineStr">
        <is>
          <t>90406510000</t>
        </is>
      </c>
      <c r="C130" t="n">
        <v>5</v>
      </c>
      <c r="D130" t="inlineStr">
        <is>
          <t>PRESCRIPTION DIET</t>
        </is>
      </c>
    </row>
    <row r="131">
      <c r="A131" t="inlineStr">
        <is>
          <t>SD PD CANINDE C/D LATA 12OZ · 93517020000</t>
        </is>
      </c>
      <c r="B131" t="inlineStr">
        <is>
          <t>93517020000</t>
        </is>
      </c>
      <c r="C131" t="n">
        <v>11</v>
      </c>
      <c r="D131" t="inlineStr">
        <is>
          <t>PRESCRIPTION DIET</t>
        </is>
      </c>
    </row>
    <row r="132">
      <c r="A132" t="inlineStr">
        <is>
          <t>SD PD CANINE K/D 3.3LB · 93516960000</t>
        </is>
      </c>
      <c r="B132" t="inlineStr">
        <is>
          <t>93516960000</t>
        </is>
      </c>
      <c r="C132" t="n">
        <v>1</v>
      </c>
      <c r="D132" t="inlineStr">
        <is>
          <t>PRESCRIPTION DIET</t>
        </is>
      </c>
    </row>
    <row r="133">
      <c r="A133" t="inlineStr">
        <is>
          <t>SD PD GATO GASTROINTESTINAL 4LB · 93517070000</t>
        </is>
      </c>
      <c r="B133" t="inlineStr">
        <is>
          <t>93517070000</t>
        </is>
      </c>
      <c r="C133" t="n">
        <v>1</v>
      </c>
      <c r="D133" t="inlineStr">
        <is>
          <t>PRESCRIPTION DIET</t>
        </is>
      </c>
    </row>
    <row r="134">
      <c r="A134" t="inlineStr">
        <is>
          <t>SD PD GATO I/D 4LB · 93517090000</t>
        </is>
      </c>
      <c r="B134" t="inlineStr">
        <is>
          <t>93517090000</t>
        </is>
      </c>
      <c r="C134" t="n">
        <v>2</v>
      </c>
      <c r="D134" t="inlineStr">
        <is>
          <t>PRESCRIPTION DIET</t>
        </is>
      </c>
    </row>
    <row r="135">
      <c r="A135" t="inlineStr">
        <is>
          <t>SD PD GATO I/D LATA 5.5OZ · 93517100000</t>
        </is>
      </c>
      <c r="B135" t="inlineStr">
        <is>
          <t>93517100000</t>
        </is>
      </c>
      <c r="C135" t="n">
        <v>13</v>
      </c>
      <c r="D135" t="inlineStr">
        <is>
          <t>PRESCRIPTION DIET</t>
        </is>
      </c>
    </row>
    <row r="136">
      <c r="A136" t="inlineStr">
        <is>
          <t>SD PF GATOS C/D LATA 5.5OZ · 93517060000</t>
        </is>
      </c>
      <c r="B136" t="inlineStr">
        <is>
          <t>93517060000</t>
        </is>
      </c>
      <c r="C136" t="n">
        <v>6</v>
      </c>
      <c r="D136" t="inlineStr">
        <is>
          <t>PRESCRIPTION DIET</t>
        </is>
      </c>
    </row>
    <row r="137">
      <c r="A137" t="inlineStr">
        <is>
          <t>M PP GATO FORTI-FLORA 30X1.06OZ · 90009660000</t>
        </is>
      </c>
      <c r="B137" t="inlineStr">
        <is>
          <t>90009660000</t>
        </is>
      </c>
      <c r="C137" t="n">
        <v>13</v>
      </c>
      <c r="D137" t="inlineStr">
        <is>
          <t>PRO PLAN</t>
        </is>
      </c>
    </row>
    <row r="138">
      <c r="A138" t="inlineStr">
        <is>
          <t>M PP PERROS FORTI-FLORA UNIDAD 1.06OZ · 90009650000</t>
        </is>
      </c>
      <c r="B138" t="inlineStr">
        <is>
          <t>90009650000</t>
        </is>
      </c>
      <c r="C138" t="n">
        <v>6</v>
      </c>
      <c r="D138" t="inlineStr">
        <is>
          <t>PRO PLAN</t>
        </is>
      </c>
    </row>
    <row r="139">
      <c r="A139" t="inlineStr">
        <is>
          <t>PP GATO LATA SOPORTE URINARIO 5.5OZ · 93519420000</t>
        </is>
      </c>
      <c r="B139" t="inlineStr">
        <is>
          <t>93519420000</t>
        </is>
      </c>
      <c r="C139" t="n">
        <v>3</v>
      </c>
      <c r="D139" t="inlineStr">
        <is>
          <t>PRO PLAN</t>
        </is>
      </c>
    </row>
    <row r="140">
      <c r="A140" t="inlineStr">
        <is>
          <t>PP GATO NF ADVANCE RINONES 3.15LB · 93519430000</t>
        </is>
      </c>
      <c r="B140" t="inlineStr">
        <is>
          <t>93519430000</t>
        </is>
      </c>
      <c r="C140" t="n">
        <v>3</v>
      </c>
      <c r="D140" t="inlineStr">
        <is>
          <t>PRO PLAN</t>
        </is>
      </c>
    </row>
    <row r="141">
      <c r="A141" t="inlineStr">
        <is>
          <t>PP GATO NF LATA ADVANCE RINONES 5.5 · 93519440000</t>
        </is>
      </c>
      <c r="B141" t="inlineStr">
        <is>
          <t>93519440000</t>
        </is>
      </c>
      <c r="C141" t="n">
        <v>8</v>
      </c>
      <c r="D141" t="inlineStr">
        <is>
          <t>PRO PLAN</t>
        </is>
      </c>
    </row>
    <row r="142">
      <c r="A142" t="inlineStr">
        <is>
          <t>PP GATOS LATA VET EN GASTRO 5.5OZ · 93519460000</t>
        </is>
      </c>
      <c r="B142" t="inlineStr">
        <is>
          <t>93519460000</t>
        </is>
      </c>
      <c r="C142" t="n">
        <v>11</v>
      </c>
      <c r="D142" t="inlineStr">
        <is>
          <t>PRO PLAN</t>
        </is>
      </c>
    </row>
    <row r="143">
      <c r="A143" t="inlineStr">
        <is>
          <t>PP GATOS VET HYDROLYZED 4LB · 93519450000</t>
        </is>
      </c>
      <c r="B143" t="inlineStr">
        <is>
          <t>93519450000</t>
        </is>
      </c>
      <c r="C143" t="n">
        <v>2</v>
      </c>
      <c r="D143" t="inlineStr">
        <is>
          <t>PRO PLAN</t>
        </is>
      </c>
    </row>
    <row r="144">
      <c r="A144" t="inlineStr">
        <is>
          <t>PP PERROS EN GASTRO 6LB · 93519540000</t>
        </is>
      </c>
      <c r="B144" t="inlineStr">
        <is>
          <t>93519540000</t>
        </is>
      </c>
      <c r="C144" t="n">
        <v>3</v>
      </c>
      <c r="D144" t="inlineStr">
        <is>
          <t>PRO PLAN</t>
        </is>
      </c>
    </row>
    <row r="145">
      <c r="A145" t="inlineStr">
        <is>
          <t>PP PERROS HYDROLYZED 6LB · 93519500000</t>
        </is>
      </c>
      <c r="B145" t="inlineStr">
        <is>
          <t>93519500000</t>
        </is>
      </c>
      <c r="C145" t="n">
        <v>3</v>
      </c>
      <c r="D145" t="inlineStr">
        <is>
          <t>PRO PLAN</t>
        </is>
      </c>
    </row>
    <row r="146">
      <c r="A146" t="inlineStr">
        <is>
          <t>PP PERROS LATA GASTRO 13.4OZ · 93519550000</t>
        </is>
      </c>
      <c r="B146" t="inlineStr">
        <is>
          <t>93519550000</t>
        </is>
      </c>
      <c r="C146" t="n">
        <v>6</v>
      </c>
      <c r="D146" t="inlineStr">
        <is>
          <t>PRO PLAN</t>
        </is>
      </c>
    </row>
    <row r="147">
      <c r="A147" t="inlineStr">
        <is>
          <t>PP PERROS LATA HYDROLYZED 13.3OZ · 93519510000</t>
        </is>
      </c>
      <c r="B147" t="inlineStr">
        <is>
          <t>93519510000</t>
        </is>
      </c>
      <c r="C147" t="n">
        <v>10</v>
      </c>
      <c r="D147" t="inlineStr">
        <is>
          <t>PRO PLAN</t>
        </is>
      </c>
    </row>
    <row r="148">
      <c r="A148" t="inlineStr">
        <is>
          <t>PP PERROS LATA SOBREPESO 13.3OZ · 93519490000</t>
        </is>
      </c>
      <c r="B148" t="inlineStr">
        <is>
          <t>93519490000</t>
        </is>
      </c>
      <c r="C148" t="n">
        <v>22</v>
      </c>
      <c r="D148" t="inlineStr">
        <is>
          <t>PRO PLAN</t>
        </is>
      </c>
    </row>
    <row r="149">
      <c r="A149" t="inlineStr">
        <is>
          <t>PP PERROS LATA SOPORTE RINONES 13.3 · 93519530000</t>
        </is>
      </c>
      <c r="B149" t="inlineStr">
        <is>
          <t>93519530000</t>
        </is>
      </c>
      <c r="C149" t="n">
        <v>14</v>
      </c>
      <c r="D149" t="inlineStr">
        <is>
          <t>PRO PLAN</t>
        </is>
      </c>
    </row>
    <row r="150">
      <c r="A150" t="inlineStr">
        <is>
          <t>PP PERROS NF SOPORTE RINONES 6LB · 93519520000</t>
        </is>
      </c>
      <c r="B150" t="inlineStr">
        <is>
          <t>93519520000</t>
        </is>
      </c>
      <c r="C150" t="n">
        <v>3</v>
      </c>
      <c r="D150" t="inlineStr">
        <is>
          <t>PRO PLAN</t>
        </is>
      </c>
    </row>
    <row r="151">
      <c r="A151" t="inlineStr">
        <is>
          <t>PP PERROS SOBREPESO 6LB · 93519480000</t>
        </is>
      </c>
      <c r="B151" t="inlineStr">
        <is>
          <t>93519480000</t>
        </is>
      </c>
      <c r="C151" t="n">
        <v>2</v>
      </c>
      <c r="D151" t="inlineStr">
        <is>
          <t>PRO PLAN</t>
        </is>
      </c>
    </row>
    <row r="152">
      <c r="A152" t="inlineStr">
        <is>
          <t>PP PROPLAN CACHORROS POUCH 85 G · 93520260000</t>
        </is>
      </c>
      <c r="B152" t="inlineStr">
        <is>
          <t>93520260000</t>
        </is>
      </c>
      <c r="C152" t="n">
        <v>14</v>
      </c>
      <c r="D152" t="inlineStr">
        <is>
          <t>PRO PLAN</t>
        </is>
      </c>
    </row>
    <row r="153">
      <c r="A153" t="inlineStr">
        <is>
          <t>PPVD GATO SOBREPESO 6LB · 90038410000</t>
        </is>
      </c>
      <c r="B153" t="inlineStr">
        <is>
          <t>90038410000</t>
        </is>
      </c>
      <c r="C153" t="n">
        <v>1</v>
      </c>
      <c r="D153" t="inlineStr">
        <is>
          <t>PRO PLAN</t>
        </is>
      </c>
    </row>
    <row r="154">
      <c r="A154" t="inlineStr">
        <is>
          <t>PPVD NC NEUROCARE 6LB · 90038380000</t>
        </is>
      </c>
      <c r="B154" t="inlineStr">
        <is>
          <t>90038380000</t>
        </is>
      </c>
      <c r="C154" t="n">
        <v>2</v>
      </c>
      <c r="D154" t="inlineStr">
        <is>
          <t>PRO PLAN</t>
        </is>
      </c>
    </row>
    <row r="155">
      <c r="A155" t="inlineStr">
        <is>
          <t>PPVD NUTRICION CRITICA GATO Y PERRO 5.5O · 90038430000</t>
        </is>
      </c>
      <c r="B155" t="inlineStr">
        <is>
          <t>90038430000</t>
        </is>
      </c>
      <c r="C155" t="n">
        <v>12</v>
      </c>
      <c r="D155" t="inlineStr">
        <is>
          <t>PRO PLAN</t>
        </is>
      </c>
    </row>
    <row r="156">
      <c r="A156" t="inlineStr">
        <is>
          <t>PPVD PERRO URINARY 13.3OZ · 90038400000</t>
        </is>
      </c>
      <c r="B156" t="inlineStr">
        <is>
          <t>90038400000</t>
        </is>
      </c>
      <c r="C156" t="n">
        <v>10</v>
      </c>
      <c r="D156" t="inlineStr">
        <is>
          <t>PRO PLAN</t>
        </is>
      </c>
    </row>
    <row r="157">
      <c r="A157" t="inlineStr">
        <is>
          <t>PROPLAN GATO ESTERILIZADO SALMON 3K · 93519980000</t>
        </is>
      </c>
      <c r="B157" t="inlineStr">
        <is>
          <t>93519980000</t>
        </is>
      </c>
      <c r="C157" t="n">
        <v>2</v>
      </c>
      <c r="D157" t="inlineStr">
        <is>
          <t>PRO PLAN</t>
        </is>
      </c>
    </row>
    <row r="158">
      <c r="A158" t="inlineStr">
        <is>
          <t>PROPLAN URINARY GATO ADULTO 1.5KG MX · 90038570000</t>
        </is>
      </c>
      <c r="B158" t="inlineStr">
        <is>
          <t>90038570000</t>
        </is>
      </c>
      <c r="C158" t="n">
        <v>2</v>
      </c>
      <c r="D158" t="inlineStr">
        <is>
          <t>PRO PLAN</t>
        </is>
      </c>
    </row>
    <row r="159">
      <c r="A159" t="inlineStr">
        <is>
          <t>PROPLAN URINARY OPTITRACT 3KG · 93519970000</t>
        </is>
      </c>
      <c r="B159" t="inlineStr">
        <is>
          <t>93519970000</t>
        </is>
      </c>
      <c r="C159" t="n">
        <v>2</v>
      </c>
      <c r="D159" t="inlineStr">
        <is>
          <t>PRO PLAN</t>
        </is>
      </c>
    </row>
    <row r="160">
      <c r="A160" t="inlineStr">
        <is>
          <t>ROYAL CANIN CARDIAC 2KG · 93504700000</t>
        </is>
      </c>
      <c r="B160" t="inlineStr">
        <is>
          <t>93504700000</t>
        </is>
      </c>
      <c r="C160" t="n">
        <v>3</v>
      </c>
      <c r="D160" t="inlineStr">
        <is>
          <t>ROYAL CANIN</t>
        </is>
      </c>
    </row>
    <row r="161">
      <c r="A161" t="inlineStr">
        <is>
          <t>ROYAL CANIN GASTRO 2KG · 93505490000</t>
        </is>
      </c>
      <c r="B161" t="inlineStr">
        <is>
          <t>93505490000</t>
        </is>
      </c>
      <c r="C161" t="n">
        <v>2</v>
      </c>
      <c r="D161" t="inlineStr">
        <is>
          <t>ROYAL CANIN</t>
        </is>
      </c>
    </row>
    <row r="162">
      <c r="A162" t="inlineStr">
        <is>
          <t>ROYAL CANIN GASTRO JUNIOR 2.5 KG · 90006770000</t>
        </is>
      </c>
      <c r="B162" t="inlineStr">
        <is>
          <t>90006770000</t>
        </is>
      </c>
      <c r="C162" t="n">
        <v>5</v>
      </c>
      <c r="D162" t="inlineStr">
        <is>
          <t>ROYAL CANIN</t>
        </is>
      </c>
    </row>
    <row r="163">
      <c r="A163" t="inlineStr">
        <is>
          <t>ROYAL CANIN GATO / RENAL 2KG · 93505710000</t>
        </is>
      </c>
      <c r="B163" t="inlineStr">
        <is>
          <t>93505710000</t>
        </is>
      </c>
      <c r="C163" t="n">
        <v>4</v>
      </c>
      <c r="D163" t="inlineStr">
        <is>
          <t>ROYAL CANIN</t>
        </is>
      </c>
    </row>
    <row r="164">
      <c r="A164" t="inlineStr">
        <is>
          <t>ROYAL CANIN GATO SIST URINARIO 1.5K · 93505700000</t>
        </is>
      </c>
      <c r="B164" t="inlineStr">
        <is>
          <t>93505700000</t>
        </is>
      </c>
      <c r="C164" t="n">
        <v>2</v>
      </c>
      <c r="D164" t="inlineStr">
        <is>
          <t>ROYAL CANIN</t>
        </is>
      </c>
    </row>
    <row r="165">
      <c r="A165" t="inlineStr">
        <is>
          <t>ROYAL CANIN HIPOALERGENICO RAZA PQ  1KG · 90006780000</t>
        </is>
      </c>
      <c r="B165" t="inlineStr">
        <is>
          <t>90006780000</t>
        </is>
      </c>
      <c r="C165" t="n">
        <v>1</v>
      </c>
      <c r="D165" t="inlineStr">
        <is>
          <t>ROYAL CANIN</t>
        </is>
      </c>
    </row>
    <row r="166">
      <c r="A166" t="inlineStr">
        <is>
          <t>ROYAL CANIN RENAL 2KG · 93510310000</t>
        </is>
      </c>
      <c r="B166" t="inlineStr">
        <is>
          <t>93510310000</t>
        </is>
      </c>
      <c r="C166" t="n">
        <v>2</v>
      </c>
      <c r="D166" t="inlineStr">
        <is>
          <t>ROYAL CANIN</t>
        </is>
      </c>
    </row>
    <row r="167">
      <c r="A167" t="inlineStr">
        <is>
          <t>ROYAL CANIN S.UNRINARIO RAZA PQ 1.5 KG · 90006790000</t>
        </is>
      </c>
      <c r="B167" t="inlineStr">
        <is>
          <t>90006790000</t>
        </is>
      </c>
      <c r="C167" t="n">
        <v>1</v>
      </c>
      <c r="D167" t="inlineStr">
        <is>
          <t>ROYAL CANIN</t>
        </is>
      </c>
    </row>
    <row r="168">
      <c r="A168" t="inlineStr">
        <is>
          <t>ROYAL CANIN SISTEMA URINARIO 2KG · 93505570000</t>
        </is>
      </c>
      <c r="B168" t="inlineStr">
        <is>
          <t>93505570000</t>
        </is>
      </c>
      <c r="C168" t="n">
        <v>3</v>
      </c>
      <c r="D168" t="inlineStr">
        <is>
          <t>ROYAL CANIN</t>
        </is>
      </c>
    </row>
    <row r="169">
      <c r="A169" t="inlineStr">
        <is>
          <t>ROYALCANIN HIPOALERGENICO 2KG · 90407030000</t>
        </is>
      </c>
      <c r="B169" t="inlineStr">
        <is>
          <t>90407030000</t>
        </is>
      </c>
      <c r="C169" t="n">
        <v>3</v>
      </c>
      <c r="D169" t="inlineStr">
        <is>
          <t>ROYAL CANIN</t>
        </is>
      </c>
    </row>
    <row r="170">
      <c r="A170" t="inlineStr">
        <is>
          <t>ROYALCANIN SATIETY 1.5KG · 93516260000</t>
        </is>
      </c>
      <c r="B170" t="inlineStr">
        <is>
          <t>93516260000</t>
        </is>
      </c>
      <c r="C170" t="n">
        <v>3</v>
      </c>
      <c r="D170" t="inlineStr">
        <is>
          <t>ROYAL CANIN</t>
        </is>
      </c>
    </row>
    <row r="171">
      <c r="A171" t="inlineStr">
        <is>
          <t>VHN GASTRO INT FELINO 2KG · 90414501000</t>
        </is>
      </c>
      <c r="B171" t="inlineStr">
        <is>
          <t>90414501000</t>
        </is>
      </c>
      <c r="C171" t="n">
        <v>5</v>
      </c>
      <c r="D171" t="inlineStr">
        <is>
          <t>ROYAL CANIN</t>
        </is>
      </c>
    </row>
    <row r="172">
      <c r="A172" t="inlineStr">
        <is>
          <t>ROCKY ADULTOS 1KG · 93500000342</t>
        </is>
      </c>
      <c r="B172" t="inlineStr">
        <is>
          <t>93500000342</t>
        </is>
      </c>
      <c r="C172" t="n">
        <v>12</v>
      </c>
      <c r="D172" t="inlineStr">
        <is>
          <t>SUPERKAN</t>
        </is>
      </c>
    </row>
    <row r="173">
      <c r="A173" t="inlineStr">
        <is>
          <t>C VET LIFE NAT GASTROINTESTINAL 2 KG · 90010010000</t>
        </is>
      </c>
      <c r="B173" t="inlineStr">
        <is>
          <t>90010010000</t>
        </is>
      </c>
      <c r="C173" t="n">
        <v>1</v>
      </c>
      <c r="D173" t="inlineStr">
        <is>
          <t>VET LIFE</t>
        </is>
      </c>
    </row>
    <row r="174">
      <c r="A174" t="inlineStr">
        <is>
          <t>F VET LIFE NAT DIABETICO 2 KG · 90010120000</t>
        </is>
      </c>
      <c r="B174" t="inlineStr">
        <is>
          <t>90010120000</t>
        </is>
      </c>
      <c r="C174" t="n">
        <v>1</v>
      </c>
      <c r="D174" t="inlineStr">
        <is>
          <t>VET LIFE</t>
        </is>
      </c>
    </row>
    <row r="176">
      <c r="A176" t="inlineStr">
        <is>
          <t>Sucursal</t>
        </is>
      </c>
      <c r="B176" t="inlineStr">
        <is>
          <t>P&amp;G | HOSPITAL BRISAS DEL NORTE</t>
        </is>
      </c>
    </row>
    <row r="177">
      <c r="A177" t="inlineStr">
        <is>
          <t>Índice</t>
        </is>
      </c>
      <c r="B177" t="n">
        <v>103</v>
      </c>
    </row>
    <row r="178">
      <c r="A178" t="inlineStr">
        <is>
          <t>Inventario al</t>
        </is>
      </c>
      <c r="B178" t="inlineStr">
        <is>
          <t>21.10.2026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2026-10-21T17:30:24Z</dcterms:created>
  <dcterms:modified xmlns:dcterms="http://purl.org/dc/terms/" xmlns:xsi="http://www.w3.org/2001/XMLSchema-instance" xsi:type="dcterms:W3CDTF">2026-10-21T17:30:24Z</dcterms:modified>
</cp:coreProperties>
</file>